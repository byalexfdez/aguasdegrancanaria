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E:\Descargas\"/>
    </mc:Choice>
  </mc:AlternateContent>
  <xr:revisionPtr revIDLastSave="0" documentId="13_ncr:1_{256C97F2-AAFB-4B5B-9E87-96C9147649F7}" xr6:coauthVersionLast="46" xr6:coauthVersionMax="46" xr10:uidLastSave="{00000000-0000-0000-0000-000000000000}"/>
  <bookViews>
    <workbookView xWindow="-120" yWindow="-120" windowWidth="29040" windowHeight="15720" xr2:uid="{00000000-000D-0000-FFFF-FFFF00000000}"/>
  </bookViews>
  <sheets>
    <sheet name="2026" sheetId="5" r:id="rId1"/>
    <sheet name="2025" sheetId="4" r:id="rId2"/>
    <sheet name="2024" sheetId="1"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5" i="5" l="1"/>
  <c r="J35" i="5"/>
  <c r="K35" i="5"/>
  <c r="L35" i="5"/>
  <c r="M35" i="5"/>
  <c r="N35" i="5"/>
  <c r="O35" i="5"/>
  <c r="H35" i="5"/>
  <c r="I11" i="5"/>
  <c r="J11" i="5"/>
  <c r="K11" i="5"/>
  <c r="L11" i="5"/>
  <c r="M11" i="5"/>
  <c r="N11" i="5"/>
  <c r="O11" i="5"/>
  <c r="P11" i="5"/>
  <c r="H11" i="5"/>
  <c r="H15" i="5"/>
  <c r="D37" i="5" l="1"/>
  <c r="E37" i="5" l="1"/>
  <c r="E27" i="5"/>
  <c r="E23" i="5"/>
  <c r="E24" i="5" l="1"/>
  <c r="E35" i="5"/>
  <c r="E31" i="5"/>
  <c r="E15" i="5"/>
  <c r="E19" i="5"/>
  <c r="E11" i="5"/>
  <c r="F11" i="5"/>
  <c r="G11" i="5"/>
  <c r="P37" i="5"/>
  <c r="P48" i="5" s="1"/>
  <c r="O37" i="5"/>
  <c r="O48" i="5" s="1"/>
  <c r="N37" i="5"/>
  <c r="N48" i="5" s="1"/>
  <c r="M37" i="5"/>
  <c r="M39" i="5" s="1"/>
  <c r="L37" i="5"/>
  <c r="L48" i="5" s="1"/>
  <c r="K37" i="5"/>
  <c r="K48" i="5" s="1"/>
  <c r="J37" i="5"/>
  <c r="J48" i="5" s="1"/>
  <c r="I37" i="5"/>
  <c r="I39" i="5" s="1"/>
  <c r="H37" i="5"/>
  <c r="H48" i="5" s="1"/>
  <c r="G37" i="5"/>
  <c r="G48" i="5" s="1"/>
  <c r="F37" i="5"/>
  <c r="F48" i="5" s="1"/>
  <c r="E39" i="5"/>
  <c r="D48" i="5"/>
  <c r="P36" i="5"/>
  <c r="O36" i="5"/>
  <c r="N36" i="5"/>
  <c r="M36" i="5"/>
  <c r="L36" i="5"/>
  <c r="K36" i="5"/>
  <c r="J36" i="5"/>
  <c r="I36" i="5"/>
  <c r="H36" i="5"/>
  <c r="G36" i="5"/>
  <c r="F36" i="5"/>
  <c r="E36" i="5"/>
  <c r="P35" i="5"/>
  <c r="G35" i="5"/>
  <c r="F35" i="5"/>
  <c r="P32" i="5"/>
  <c r="O32" i="5"/>
  <c r="N32" i="5"/>
  <c r="M32" i="5"/>
  <c r="L32" i="5"/>
  <c r="K32" i="5"/>
  <c r="J32" i="5"/>
  <c r="I32" i="5"/>
  <c r="H32" i="5"/>
  <c r="G32" i="5"/>
  <c r="F32" i="5"/>
  <c r="E32" i="5"/>
  <c r="P31" i="5"/>
  <c r="O31" i="5"/>
  <c r="N31" i="5"/>
  <c r="M31" i="5"/>
  <c r="L31" i="5"/>
  <c r="K31" i="5"/>
  <c r="J31" i="5"/>
  <c r="I31" i="5"/>
  <c r="H31" i="5"/>
  <c r="G31" i="5"/>
  <c r="F31" i="5"/>
  <c r="P28" i="5"/>
  <c r="O28" i="5"/>
  <c r="N28" i="5"/>
  <c r="M28" i="5"/>
  <c r="L28" i="5"/>
  <c r="K28" i="5"/>
  <c r="J28" i="5"/>
  <c r="I28" i="5"/>
  <c r="H28" i="5"/>
  <c r="G28" i="5"/>
  <c r="F28" i="5"/>
  <c r="E28" i="5"/>
  <c r="P27" i="5"/>
  <c r="O27" i="5"/>
  <c r="N27" i="5"/>
  <c r="M27" i="5"/>
  <c r="L27" i="5"/>
  <c r="K27" i="5"/>
  <c r="J27" i="5"/>
  <c r="I27" i="5"/>
  <c r="H27" i="5"/>
  <c r="G27" i="5"/>
  <c r="F27" i="5"/>
  <c r="P24" i="5"/>
  <c r="O24" i="5"/>
  <c r="N24" i="5"/>
  <c r="M24" i="5"/>
  <c r="L24" i="5"/>
  <c r="K24" i="5"/>
  <c r="J24" i="5"/>
  <c r="I24" i="5"/>
  <c r="H24" i="5"/>
  <c r="G24" i="5"/>
  <c r="F24" i="5"/>
  <c r="P23" i="5"/>
  <c r="O23" i="5"/>
  <c r="N23" i="5"/>
  <c r="M23" i="5"/>
  <c r="L23" i="5"/>
  <c r="K23" i="5"/>
  <c r="J23" i="5"/>
  <c r="I23" i="5"/>
  <c r="H23" i="5"/>
  <c r="G23" i="5"/>
  <c r="F23" i="5"/>
  <c r="P20" i="5"/>
  <c r="O20" i="5"/>
  <c r="N20" i="5"/>
  <c r="M20" i="5"/>
  <c r="L20" i="5"/>
  <c r="K20" i="5"/>
  <c r="J20" i="5"/>
  <c r="I20" i="5"/>
  <c r="H20" i="5"/>
  <c r="G20" i="5"/>
  <c r="F20" i="5"/>
  <c r="E20" i="5"/>
  <c r="P19" i="5"/>
  <c r="O19" i="5"/>
  <c r="N19" i="5"/>
  <c r="M19" i="5"/>
  <c r="L19" i="5"/>
  <c r="K19" i="5"/>
  <c r="J19" i="5"/>
  <c r="I19" i="5"/>
  <c r="H19" i="5"/>
  <c r="G19" i="5"/>
  <c r="F19" i="5"/>
  <c r="P16" i="5"/>
  <c r="O16" i="5"/>
  <c r="N16" i="5"/>
  <c r="M16" i="5"/>
  <c r="L16" i="5"/>
  <c r="K16" i="5"/>
  <c r="J16" i="5"/>
  <c r="I16" i="5"/>
  <c r="H16" i="5"/>
  <c r="G16" i="5"/>
  <c r="F16" i="5"/>
  <c r="E16" i="5"/>
  <c r="P15" i="5"/>
  <c r="O15" i="5"/>
  <c r="N15" i="5"/>
  <c r="M15" i="5"/>
  <c r="L15" i="5"/>
  <c r="K15" i="5"/>
  <c r="J15" i="5"/>
  <c r="I15" i="5"/>
  <c r="G15" i="5"/>
  <c r="F15" i="5"/>
  <c r="P12" i="5"/>
  <c r="O12" i="5"/>
  <c r="N12" i="5"/>
  <c r="M12" i="5"/>
  <c r="L12" i="5"/>
  <c r="K12" i="5"/>
  <c r="J12" i="5"/>
  <c r="I12" i="5"/>
  <c r="H12" i="5"/>
  <c r="G12" i="5"/>
  <c r="F12" i="5"/>
  <c r="E12" i="5"/>
  <c r="P35" i="4"/>
  <c r="P11" i="4"/>
  <c r="F50" i="5" l="1"/>
  <c r="G50" i="5"/>
  <c r="G39" i="5"/>
  <c r="K39" i="5"/>
  <c r="O39" i="5"/>
  <c r="J50" i="5"/>
  <c r="N50" i="5"/>
  <c r="K50" i="5"/>
  <c r="O50" i="5"/>
  <c r="H50" i="5"/>
  <c r="L50" i="5"/>
  <c r="P50" i="5"/>
  <c r="F38" i="5"/>
  <c r="F49" i="5" s="1"/>
  <c r="J38" i="5"/>
  <c r="J49" i="5" s="1"/>
  <c r="N38" i="5"/>
  <c r="N49" i="5" s="1"/>
  <c r="F39" i="5"/>
  <c r="J39" i="5"/>
  <c r="N39" i="5"/>
  <c r="E48" i="5"/>
  <c r="E50" i="5" s="1"/>
  <c r="I48" i="5"/>
  <c r="I50" i="5" s="1"/>
  <c r="M48" i="5"/>
  <c r="M50" i="5" s="1"/>
  <c r="G38" i="5"/>
  <c r="G49" i="5" s="1"/>
  <c r="K38" i="5"/>
  <c r="K49" i="5" s="1"/>
  <c r="O38" i="5"/>
  <c r="O49" i="5" s="1"/>
  <c r="H38" i="5"/>
  <c r="H49" i="5" s="1"/>
  <c r="L38" i="5"/>
  <c r="L49" i="5" s="1"/>
  <c r="P38" i="5"/>
  <c r="P49" i="5" s="1"/>
  <c r="H39" i="5"/>
  <c r="L39" i="5"/>
  <c r="P39" i="5"/>
  <c r="I38" i="5"/>
  <c r="I49" i="5" s="1"/>
  <c r="M38" i="5"/>
  <c r="M49" i="5" s="1"/>
  <c r="O35" i="4"/>
  <c r="O11" i="4"/>
  <c r="N31" i="4" l="1"/>
  <c r="M11" i="4"/>
  <c r="N11" i="4"/>
  <c r="K11" i="4" l="1"/>
  <c r="L11" i="4"/>
  <c r="J11" i="4" l="1"/>
  <c r="G11" i="4"/>
  <c r="H11" i="4"/>
  <c r="I11" i="4"/>
  <c r="H35" i="4" l="1"/>
  <c r="H31" i="4"/>
  <c r="I31" i="4"/>
  <c r="J31" i="4"/>
  <c r="K31" i="4"/>
  <c r="L31" i="4"/>
  <c r="M31" i="4"/>
  <c r="O31" i="4"/>
  <c r="P31" i="4"/>
  <c r="I19" i="4"/>
  <c r="J19" i="4"/>
  <c r="K19" i="4"/>
  <c r="L19" i="4"/>
  <c r="M19" i="4"/>
  <c r="N19" i="4"/>
  <c r="O19" i="4"/>
  <c r="P19" i="4"/>
  <c r="H19" i="4"/>
  <c r="G35" i="4" l="1"/>
  <c r="G31" i="4"/>
  <c r="G19" i="4"/>
  <c r="F11" i="4"/>
  <c r="E37" i="4" l="1"/>
  <c r="E49" i="4" l="1"/>
  <c r="F31" i="4" l="1"/>
  <c r="F35" i="4"/>
  <c r="G27" i="4"/>
  <c r="H27" i="4"/>
  <c r="I27" i="4"/>
  <c r="J27" i="4"/>
  <c r="K27" i="4"/>
  <c r="L27" i="4"/>
  <c r="M27" i="4"/>
  <c r="N27" i="4"/>
  <c r="O27" i="4"/>
  <c r="P27" i="4"/>
  <c r="F27" i="4"/>
  <c r="G23" i="4"/>
  <c r="H23" i="4"/>
  <c r="I23" i="4"/>
  <c r="J23" i="4"/>
  <c r="K23" i="4"/>
  <c r="L23" i="4"/>
  <c r="M23" i="4"/>
  <c r="N23" i="4"/>
  <c r="O23" i="4"/>
  <c r="P23" i="4"/>
  <c r="F23" i="4"/>
  <c r="F19" i="4"/>
  <c r="G15" i="4"/>
  <c r="H15" i="4"/>
  <c r="I15" i="4"/>
  <c r="J15" i="4"/>
  <c r="K15" i="4"/>
  <c r="L15" i="4"/>
  <c r="M15" i="4"/>
  <c r="N15" i="4"/>
  <c r="O15" i="4"/>
  <c r="P15" i="4"/>
  <c r="F15" i="4"/>
  <c r="P37" i="4" l="1"/>
  <c r="E38" i="5" s="1"/>
  <c r="E49" i="5" s="1"/>
  <c r="O37" i="4"/>
  <c r="N37" i="4"/>
  <c r="M37" i="4"/>
  <c r="L37" i="4"/>
  <c r="K37" i="4"/>
  <c r="J37" i="4"/>
  <c r="I37" i="4"/>
  <c r="H37" i="4"/>
  <c r="G37" i="4"/>
  <c r="F37" i="4"/>
  <c r="E48" i="4"/>
  <c r="D37" i="4"/>
  <c r="P36" i="4"/>
  <c r="O36" i="4"/>
  <c r="N36" i="4"/>
  <c r="M36" i="4"/>
  <c r="L36" i="4"/>
  <c r="K36" i="4"/>
  <c r="J36" i="4"/>
  <c r="I36" i="4"/>
  <c r="H36" i="4"/>
  <c r="G36" i="4"/>
  <c r="F36" i="4"/>
  <c r="E36" i="4"/>
  <c r="E35" i="4"/>
  <c r="P32" i="4"/>
  <c r="O32" i="4"/>
  <c r="N32" i="4"/>
  <c r="M32" i="4"/>
  <c r="L32" i="4"/>
  <c r="K32" i="4"/>
  <c r="J32" i="4"/>
  <c r="I32" i="4"/>
  <c r="H32" i="4"/>
  <c r="G32" i="4"/>
  <c r="F32" i="4"/>
  <c r="E32" i="4"/>
  <c r="E31" i="4"/>
  <c r="P28" i="4"/>
  <c r="O28" i="4"/>
  <c r="N28" i="4"/>
  <c r="M28" i="4"/>
  <c r="L28" i="4"/>
  <c r="K28" i="4"/>
  <c r="J28" i="4"/>
  <c r="I28" i="4"/>
  <c r="H28" i="4"/>
  <c r="G28" i="4"/>
  <c r="F28" i="4"/>
  <c r="E28" i="4"/>
  <c r="E27" i="4"/>
  <c r="P24" i="4"/>
  <c r="O24" i="4"/>
  <c r="N24" i="4"/>
  <c r="M24" i="4"/>
  <c r="L24" i="4"/>
  <c r="K24" i="4"/>
  <c r="J24" i="4"/>
  <c r="I24" i="4"/>
  <c r="H24" i="4"/>
  <c r="G24" i="4"/>
  <c r="F24" i="4"/>
  <c r="P20" i="4"/>
  <c r="O20" i="4"/>
  <c r="N20" i="4"/>
  <c r="M20" i="4"/>
  <c r="L20" i="4"/>
  <c r="K20" i="4"/>
  <c r="J20" i="4"/>
  <c r="I20" i="4"/>
  <c r="H20" i="4"/>
  <c r="G20" i="4"/>
  <c r="F20" i="4"/>
  <c r="E20" i="4"/>
  <c r="E19" i="4"/>
  <c r="P16" i="4"/>
  <c r="O16" i="4"/>
  <c r="N16" i="4"/>
  <c r="M16" i="4"/>
  <c r="L16" i="4"/>
  <c r="K16" i="4"/>
  <c r="J16" i="4"/>
  <c r="I16" i="4"/>
  <c r="H16" i="4"/>
  <c r="G16" i="4"/>
  <c r="F16" i="4"/>
  <c r="E16" i="4"/>
  <c r="E15" i="4"/>
  <c r="P12" i="4"/>
  <c r="O12" i="4"/>
  <c r="N12" i="4"/>
  <c r="M12" i="4"/>
  <c r="L12" i="4"/>
  <c r="K12" i="4"/>
  <c r="J12" i="4"/>
  <c r="I12" i="4"/>
  <c r="H12" i="4"/>
  <c r="G12" i="4"/>
  <c r="F12" i="4"/>
  <c r="E12" i="4"/>
  <c r="E11" i="4"/>
  <c r="L38" i="4" l="1"/>
  <c r="L49" i="4" s="1"/>
  <c r="I48" i="4"/>
  <c r="I38" i="4"/>
  <c r="I49" i="4" s="1"/>
  <c r="M48" i="4"/>
  <c r="M38" i="4"/>
  <c r="M49" i="4" s="1"/>
  <c r="F48" i="4"/>
  <c r="F38" i="4"/>
  <c r="F49" i="4" s="1"/>
  <c r="J48" i="4"/>
  <c r="J38" i="4"/>
  <c r="J49" i="4" s="1"/>
  <c r="N48" i="4"/>
  <c r="N38" i="4"/>
  <c r="N49" i="4" s="1"/>
  <c r="K48" i="4"/>
  <c r="K38" i="4"/>
  <c r="K49" i="4" s="1"/>
  <c r="O48" i="4"/>
  <c r="O38" i="4"/>
  <c r="O49" i="4" s="1"/>
  <c r="M39" i="4"/>
  <c r="H48" i="4"/>
  <c r="H38" i="4"/>
  <c r="H49" i="4" s="1"/>
  <c r="L48" i="4"/>
  <c r="P48" i="4"/>
  <c r="P38" i="4"/>
  <c r="P49" i="4" s="1"/>
  <c r="G48" i="4"/>
  <c r="G38" i="4"/>
  <c r="G49" i="4" s="1"/>
  <c r="H39" i="4"/>
  <c r="L39" i="4"/>
  <c r="P39" i="4"/>
  <c r="I39" i="4"/>
  <c r="D48" i="4"/>
  <c r="F39" i="4"/>
  <c r="J39" i="4"/>
  <c r="N39" i="4"/>
  <c r="E39" i="4"/>
  <c r="G39" i="4"/>
  <c r="K39" i="4"/>
  <c r="O39" i="4"/>
  <c r="F17" i="1"/>
  <c r="G17" i="1"/>
  <c r="H17" i="1"/>
  <c r="I17" i="1"/>
  <c r="J17" i="1"/>
  <c r="K17" i="1"/>
  <c r="L17" i="1"/>
  <c r="M17" i="1"/>
  <c r="N17" i="1"/>
  <c r="O17" i="1"/>
  <c r="P17" i="1"/>
  <c r="F13" i="1"/>
  <c r="G13" i="1"/>
  <c r="H13" i="1"/>
  <c r="I13" i="1"/>
  <c r="J13" i="1"/>
  <c r="K13" i="1"/>
  <c r="L13" i="1"/>
  <c r="M13" i="1"/>
  <c r="N13" i="1"/>
  <c r="O13" i="1"/>
  <c r="P13" i="1"/>
  <c r="I50" i="4" l="1"/>
  <c r="N50" i="4"/>
  <c r="P50" i="4"/>
  <c r="K50" i="4"/>
  <c r="L50" i="4"/>
  <c r="G50" i="4"/>
  <c r="J50" i="4"/>
  <c r="H50" i="4"/>
  <c r="M50" i="4"/>
  <c r="F50" i="4"/>
  <c r="O50" i="4"/>
  <c r="E50" i="4"/>
  <c r="F21" i="1" l="1"/>
  <c r="G21" i="1"/>
  <c r="H21" i="1"/>
  <c r="I21" i="1"/>
  <c r="J21" i="1"/>
  <c r="K21" i="1"/>
  <c r="L21" i="1"/>
  <c r="M21" i="1"/>
  <c r="N21" i="1"/>
  <c r="O21" i="1"/>
  <c r="P21" i="1"/>
  <c r="F25" i="1"/>
  <c r="G25" i="1"/>
  <c r="H25" i="1"/>
  <c r="I25" i="1"/>
  <c r="J25" i="1"/>
  <c r="K25" i="1"/>
  <c r="L25" i="1"/>
  <c r="M25" i="1"/>
  <c r="N25" i="1"/>
  <c r="O25" i="1"/>
  <c r="P25" i="1"/>
  <c r="F37" i="1"/>
  <c r="G37" i="1"/>
  <c r="H37" i="1"/>
  <c r="I37" i="1"/>
  <c r="J37" i="1"/>
  <c r="K37" i="1"/>
  <c r="L37" i="1"/>
  <c r="M37" i="1"/>
  <c r="N37" i="1"/>
  <c r="O37" i="1"/>
  <c r="P37" i="1"/>
  <c r="F33" i="1"/>
  <c r="G33" i="1"/>
  <c r="H33" i="1"/>
  <c r="I33" i="1"/>
  <c r="J33" i="1"/>
  <c r="K33" i="1"/>
  <c r="L33" i="1"/>
  <c r="M33" i="1"/>
  <c r="N33" i="1"/>
  <c r="O33" i="1"/>
  <c r="P33" i="1"/>
  <c r="F29" i="1"/>
  <c r="G29" i="1"/>
  <c r="H29" i="1"/>
  <c r="I29" i="1"/>
  <c r="J29" i="1"/>
  <c r="K29" i="1"/>
  <c r="L29" i="1"/>
  <c r="M29" i="1"/>
  <c r="N29" i="1"/>
  <c r="O29" i="1"/>
  <c r="P29" i="1"/>
  <c r="E37" i="1"/>
  <c r="E33" i="1"/>
  <c r="E29" i="1"/>
  <c r="E17" i="1"/>
  <c r="E13" i="1"/>
  <c r="E21" i="1"/>
  <c r="E25" i="1"/>
  <c r="G36" i="1"/>
  <c r="H36" i="1"/>
  <c r="I36" i="1"/>
  <c r="J36" i="1"/>
  <c r="K36" i="1"/>
  <c r="L36" i="1"/>
  <c r="M36" i="1"/>
  <c r="N36" i="1"/>
  <c r="O36" i="1"/>
  <c r="P36" i="1"/>
  <c r="F36" i="1"/>
  <c r="G32" i="1"/>
  <c r="H32" i="1"/>
  <c r="I32" i="1"/>
  <c r="J32" i="1"/>
  <c r="K32" i="1"/>
  <c r="L32" i="1"/>
  <c r="M32" i="1"/>
  <c r="N32" i="1"/>
  <c r="O32" i="1"/>
  <c r="P32" i="1"/>
  <c r="F32" i="1"/>
  <c r="G28" i="1"/>
  <c r="H28" i="1"/>
  <c r="I28" i="1"/>
  <c r="J28" i="1"/>
  <c r="K28" i="1"/>
  <c r="L28" i="1"/>
  <c r="M28" i="1"/>
  <c r="N28" i="1"/>
  <c r="O28" i="1"/>
  <c r="P28" i="1"/>
  <c r="F28" i="1"/>
  <c r="G24" i="1"/>
  <c r="H24" i="1"/>
  <c r="I24" i="1"/>
  <c r="J24" i="1"/>
  <c r="K24" i="1"/>
  <c r="L24" i="1"/>
  <c r="M24" i="1"/>
  <c r="N24" i="1"/>
  <c r="O24" i="1"/>
  <c r="P24" i="1"/>
  <c r="F24" i="1"/>
  <c r="G20" i="1"/>
  <c r="H20" i="1"/>
  <c r="I20" i="1"/>
  <c r="J20" i="1"/>
  <c r="K20" i="1"/>
  <c r="L20" i="1"/>
  <c r="M20" i="1"/>
  <c r="N20" i="1"/>
  <c r="O20" i="1"/>
  <c r="P20" i="1"/>
  <c r="F20" i="1"/>
  <c r="G16" i="1"/>
  <c r="H16" i="1"/>
  <c r="I16" i="1"/>
  <c r="J16" i="1"/>
  <c r="K16" i="1"/>
  <c r="L16" i="1"/>
  <c r="M16" i="1"/>
  <c r="N16" i="1"/>
  <c r="O16" i="1"/>
  <c r="P16" i="1"/>
  <c r="F16" i="1"/>
  <c r="F12" i="1"/>
  <c r="G12" i="1"/>
  <c r="H12" i="1"/>
  <c r="I12" i="1"/>
  <c r="J12" i="1"/>
  <c r="K12" i="1"/>
  <c r="L12" i="1"/>
  <c r="M12" i="1"/>
  <c r="N12" i="1"/>
  <c r="O12" i="1"/>
  <c r="P12" i="1"/>
  <c r="F38" i="1"/>
  <c r="G38" i="1"/>
  <c r="H38" i="1"/>
  <c r="H49" i="1" s="1"/>
  <c r="I38" i="1"/>
  <c r="I49" i="1" s="1"/>
  <c r="J38" i="1"/>
  <c r="J49" i="1" s="1"/>
  <c r="K38" i="1"/>
  <c r="L38" i="1"/>
  <c r="M38" i="1"/>
  <c r="N38" i="1"/>
  <c r="N49" i="1" s="1"/>
  <c r="O38" i="1"/>
  <c r="P38" i="1"/>
  <c r="P49" i="1" s="1"/>
  <c r="E50" i="1"/>
  <c r="E38" i="1"/>
  <c r="D38" i="1"/>
  <c r="D49" i="1" s="1"/>
  <c r="G40" i="1" l="1"/>
  <c r="E40" i="1"/>
  <c r="F40" i="1"/>
  <c r="L40" i="1"/>
  <c r="F49" i="1"/>
  <c r="F51" i="1" s="1"/>
  <c r="E49" i="1"/>
  <c r="E51" i="1" s="1"/>
  <c r="N51" i="1"/>
  <c r="M40" i="1"/>
  <c r="I40" i="1"/>
  <c r="F39" i="1"/>
  <c r="F50" i="1" s="1"/>
  <c r="P51" i="1"/>
  <c r="H51" i="1"/>
  <c r="I51" i="1"/>
  <c r="J51" i="1"/>
  <c r="P40" i="1"/>
  <c r="P39" i="1"/>
  <c r="P50" i="1" s="1"/>
  <c r="N40" i="1"/>
  <c r="O39" i="1"/>
  <c r="O50" i="1" s="1"/>
  <c r="O40" i="1"/>
  <c r="O49" i="1"/>
  <c r="O51" i="1" s="1"/>
  <c r="N39" i="1"/>
  <c r="N50" i="1" s="1"/>
  <c r="M49" i="1"/>
  <c r="M51" i="1" s="1"/>
  <c r="M39" i="1"/>
  <c r="M50" i="1" s="1"/>
  <c r="L49" i="1"/>
  <c r="L51" i="1" s="1"/>
  <c r="L39" i="1"/>
  <c r="L50" i="1" s="1"/>
  <c r="K49" i="1"/>
  <c r="K51" i="1" s="1"/>
  <c r="K40" i="1"/>
  <c r="J39" i="1"/>
  <c r="J50" i="1" s="1"/>
  <c r="J40" i="1"/>
  <c r="K39" i="1"/>
  <c r="K50" i="1" s="1"/>
  <c r="I39" i="1"/>
  <c r="I50" i="1" s="1"/>
  <c r="H40" i="1"/>
  <c r="H39" i="1"/>
  <c r="H50" i="1" s="1"/>
  <c r="G39" i="1"/>
  <c r="G50" i="1" s="1"/>
  <c r="G49" i="1"/>
  <c r="G51" i="1" s="1"/>
</calcChain>
</file>

<file path=xl/sharedStrings.xml><?xml version="1.0" encoding="utf-8"?>
<sst xmlns="http://schemas.openxmlformats.org/spreadsheetml/2006/main" count="399" uniqueCount="62">
  <si>
    <t>PRESAS</t>
  </si>
  <si>
    <t>DATOS</t>
  </si>
  <si>
    <t>NIVEL MÁXIMO</t>
  </si>
  <si>
    <t>ENERO</t>
  </si>
  <si>
    <t>FEBRERO</t>
  </si>
  <si>
    <t>MARZO</t>
  </si>
  <si>
    <t>ABRIL</t>
  </si>
  <si>
    <t xml:space="preserve">MAYO </t>
  </si>
  <si>
    <t>JUNIO</t>
  </si>
  <si>
    <t>JULIO</t>
  </si>
  <si>
    <t>AGOSTO</t>
  </si>
  <si>
    <t>SEPTIEMBRE</t>
  </si>
  <si>
    <t xml:space="preserve">OCTUBRE </t>
  </si>
  <si>
    <t>NOVIEMBRE</t>
  </si>
  <si>
    <t>DICIEMBRE</t>
  </si>
  <si>
    <t>Columna1</t>
  </si>
  <si>
    <t>Columna2</t>
  </si>
  <si>
    <t>Columna3</t>
  </si>
  <si>
    <t>Columna4</t>
  </si>
  <si>
    <t>Columna5</t>
  </si>
  <si>
    <t>Columna6</t>
  </si>
  <si>
    <t>Columna7</t>
  </si>
  <si>
    <t>Columna8</t>
  </si>
  <si>
    <t>Columna9</t>
  </si>
  <si>
    <t>Columna10</t>
  </si>
  <si>
    <t>Columna11</t>
  </si>
  <si>
    <t>Columna12</t>
  </si>
  <si>
    <t>Columna13</t>
  </si>
  <si>
    <t>Columna14</t>
  </si>
  <si>
    <t>CHIRA</t>
  </si>
  <si>
    <t>ALTURA (m)</t>
  </si>
  <si>
    <t>Volumen (m3)</t>
  </si>
  <si>
    <t>Variación Respecto mes anterior</t>
  </si>
  <si>
    <t>%Embalsado respecto a Vmáx</t>
  </si>
  <si>
    <t>NIVELES EMBALSADOS A FIN DE MES</t>
  </si>
  <si>
    <t>AYAGAURES</t>
  </si>
  <si>
    <t>GAMBUESA</t>
  </si>
  <si>
    <t>EL MULATO</t>
  </si>
  <si>
    <t>CANDELARIA</t>
  </si>
  <si>
    <t>FATAGA</t>
  </si>
  <si>
    <t>VAQUERO</t>
  </si>
  <si>
    <t>VOLUMEN TEÓRICO TOTAL</t>
  </si>
  <si>
    <t>VARIACIÓN TOTAL RESPECTO MES ANTERIOR</t>
  </si>
  <si>
    <t>%EMBALSADO TOTAL RESPECTO A Vmáx.</t>
  </si>
  <si>
    <t>Columna15</t>
  </si>
  <si>
    <t>COMUNIDAD DE AGUAS LA LUMBRE (participa en un 91,75% por el Cabildo)</t>
  </si>
  <si>
    <t>SORIA</t>
  </si>
  <si>
    <t>0</t>
  </si>
  <si>
    <t>0%</t>
  </si>
  <si>
    <t>VARIACIÓN TOTAL RESPECTO A MES ANTERIOR</t>
  </si>
  <si>
    <t>V TEÓRICO TOTAL INCLUIDO SORIA</t>
  </si>
  <si>
    <t>Desde finales de 2023, el agua embalsada en Fataga está por debajo de la toma inferior de la presa. El volumen muerto de agua (fango) existente por debjao de ese nivel no es aprovechable, por lo que a partir de mayo de 2024 se considera que el embalse está técnicamente vacío.</t>
  </si>
  <si>
    <t>El jueves 22 de agosto el agua embalsada en el Vaquero llegó a la altura de la toma inferior, quedando un volumen muerto, y por lo tanto no útil de 1.333m³. A partir de septiembre de 2024 se considera que el embalse está técnicamente vacío</t>
  </si>
  <si>
    <t>* Con el fin de no desvirtuar los datos porcentuales, en lugar de los 32.023.957 m³ de capacidad teórica del Embalse de Soria, se considera como 100% el máximo registro histórico, 13.014.589 m³ (90,77 m. de altura), alcanzado en marzo de 2011.</t>
  </si>
  <si>
    <t>֊</t>
  </si>
  <si>
    <t>En Enero 2024 no se pudo tomar los datos de El Mulato. Para que no haya tanta distorsión en % embalsado, para el cálculo volumen teórico total del mes de enero se uso el dato del mes anterior.</t>
  </si>
  <si>
    <t>COMUNIDAD DE AGUAS LA LUMBRE 
(participa en un 91,75% por el Cabildo)</t>
  </si>
  <si>
    <t>VOLÚMENES ALMACENADOS EN LOS EMBALSES DE GRAN CANARIA GESTIONADOS POR EL CONSEJO INSULAR DE AGUAS</t>
  </si>
  <si>
    <t>AÑO 2025</t>
  </si>
  <si>
    <t>AÑO 2024</t>
  </si>
  <si>
    <t>AÑO 2026</t>
  </si>
  <si>
    <t>25,32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</si>
</sst>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sz val="11"/>
      <color rgb="FFFF0000"/>
      <name val="Calibri"/>
      <family val="2"/>
      <scheme val="minor"/>
    </font>
    <font>
      <sz val="11"/>
      <color theme="1"/>
      <name val="Calibri Light"/>
      <family val="2"/>
    </font>
    <font>
      <i/>
      <sz val="9"/>
      <color theme="1"/>
      <name val="Calibri Light"/>
      <family val="2"/>
    </font>
    <font>
      <i/>
      <sz val="9"/>
      <color theme="1"/>
      <name val="Calibri"/>
      <family val="2"/>
      <scheme val="minor"/>
    </font>
    <font>
      <i/>
      <sz val="9"/>
      <color theme="8" tint="-0.249977111117893"/>
      <name val="Calibri Light"/>
      <family val="2"/>
    </font>
    <font>
      <i/>
      <sz val="9"/>
      <color rgb="FFFF0000"/>
      <name val="Calibri Light"/>
      <family val="2"/>
    </font>
    <font>
      <sz val="11"/>
      <name val="Calibri"/>
      <family val="2"/>
      <scheme val="minor"/>
    </font>
    <font>
      <sz val="11"/>
      <color rgb="FFFF0000"/>
      <name val="Calibri"/>
      <family val="2"/>
    </font>
    <font>
      <b/>
      <sz val="16"/>
      <color rgb="FF00B0F0"/>
      <name val="Calibri"/>
      <family val="2"/>
      <scheme val="minor"/>
    </font>
    <font>
      <b/>
      <sz val="18"/>
      <color rgb="FF00B0F0"/>
      <name val="Calibri"/>
      <family val="2"/>
      <scheme val="minor"/>
    </font>
    <font>
      <sz val="8"/>
      <name val="Calibri"/>
      <family val="2"/>
      <scheme val="minor"/>
    </font>
  </fonts>
  <fills count="8">
    <fill>
      <patternFill patternType="none"/>
    </fill>
    <fill>
      <patternFill patternType="gray125"/>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8"/>
        <bgColor theme="8"/>
      </patternFill>
    </fill>
    <fill>
      <patternFill patternType="solid">
        <fgColor theme="8" tint="0.59999389629810485"/>
        <bgColor theme="8" tint="0.79998168889431442"/>
      </patternFill>
    </fill>
    <fill>
      <patternFill patternType="solid">
        <fgColor theme="8" tint="0.79998168889431442"/>
        <bgColor theme="8" tint="0.59999389629810485"/>
      </patternFill>
    </fill>
    <fill>
      <patternFill patternType="solid">
        <fgColor theme="8" tint="0.59999389629810485"/>
        <bgColor indexed="64"/>
      </patternFill>
    </fill>
  </fills>
  <borders count="17">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bottom style="thick">
        <color theme="0"/>
      </bottom>
      <diagonal/>
    </border>
    <border>
      <left/>
      <right style="thin">
        <color theme="0"/>
      </right>
      <top/>
      <bottom style="thin">
        <color theme="0"/>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right style="thin">
        <color theme="0"/>
      </right>
      <top style="thick">
        <color theme="0"/>
      </top>
      <bottom/>
      <diagonal/>
    </border>
    <border>
      <left/>
      <right style="thin">
        <color theme="0"/>
      </right>
      <top/>
      <bottom/>
      <diagonal/>
    </border>
    <border>
      <left style="thin">
        <color theme="0"/>
      </left>
      <right style="thin">
        <color theme="0"/>
      </right>
      <top style="thick">
        <color theme="0"/>
      </top>
      <bottom style="thin">
        <color theme="0"/>
      </bottom>
      <diagonal/>
    </border>
    <border>
      <left style="thin">
        <color theme="0"/>
      </left>
      <right style="thin">
        <color theme="0"/>
      </right>
      <top style="thick">
        <color theme="0"/>
      </top>
      <bottom/>
      <diagonal/>
    </border>
    <border>
      <left style="thin">
        <color theme="0"/>
      </left>
      <right style="thin">
        <color theme="0"/>
      </right>
      <top/>
      <bottom/>
      <diagonal/>
    </border>
  </borders>
  <cellStyleXfs count="1">
    <xf numFmtId="0" fontId="0" fillId="0" borderId="0"/>
  </cellStyleXfs>
  <cellXfs count="83">
    <xf numFmtId="0" fontId="0" fillId="0" borderId="0" xfId="0"/>
    <xf numFmtId="0" fontId="0" fillId="3" borderId="2" xfId="0" applyFill="1" applyBorder="1"/>
    <xf numFmtId="0" fontId="0" fillId="2" borderId="5" xfId="0" applyFill="1" applyBorder="1"/>
    <xf numFmtId="0" fontId="0" fillId="3" borderId="5" xfId="0" applyFill="1" applyBorder="1"/>
    <xf numFmtId="0" fontId="1" fillId="4" borderId="0" xfId="0" applyFont="1" applyFill="1"/>
    <xf numFmtId="0" fontId="1" fillId="4" borderId="8" xfId="0" applyFont="1" applyFill="1" applyBorder="1"/>
    <xf numFmtId="3" fontId="0" fillId="3" borderId="5" xfId="0" applyNumberFormat="1" applyFill="1" applyBorder="1"/>
    <xf numFmtId="0" fontId="0" fillId="2" borderId="11" xfId="0" applyFill="1" applyBorder="1"/>
    <xf numFmtId="0" fontId="0" fillId="6" borderId="11" xfId="0" applyFill="1" applyBorder="1"/>
    <xf numFmtId="3" fontId="0" fillId="2" borderId="5" xfId="0" applyNumberFormat="1" applyFill="1" applyBorder="1"/>
    <xf numFmtId="0" fontId="0" fillId="5" borderId="5" xfId="0" applyFill="1" applyBorder="1"/>
    <xf numFmtId="0" fontId="0" fillId="6" borderId="5" xfId="0" applyFill="1" applyBorder="1"/>
    <xf numFmtId="0" fontId="0" fillId="5" borderId="11" xfId="0" applyFill="1" applyBorder="1"/>
    <xf numFmtId="0" fontId="0" fillId="6" borderId="10" xfId="0" applyFill="1" applyBorder="1"/>
    <xf numFmtId="0" fontId="0" fillId="6" borderId="9" xfId="0" applyFill="1" applyBorder="1"/>
    <xf numFmtId="3" fontId="0" fillId="5" borderId="5" xfId="0" applyNumberFormat="1" applyFill="1" applyBorder="1"/>
    <xf numFmtId="0" fontId="0" fillId="6" borderId="14" xfId="0" applyFill="1" applyBorder="1"/>
    <xf numFmtId="49" fontId="0" fillId="2" borderId="9" xfId="0" applyNumberFormat="1" applyFill="1" applyBorder="1"/>
    <xf numFmtId="49" fontId="0" fillId="2" borderId="10" xfId="0" applyNumberFormat="1" applyFill="1" applyBorder="1"/>
    <xf numFmtId="49" fontId="0" fillId="3" borderId="11" xfId="0" applyNumberFormat="1" applyFill="1" applyBorder="1" applyAlignment="1">
      <alignment horizontal="center" vertical="center"/>
    </xf>
    <xf numFmtId="49" fontId="0" fillId="3" borderId="5" xfId="0" applyNumberFormat="1" applyFill="1" applyBorder="1" applyAlignment="1">
      <alignment horizontal="center" vertical="center"/>
    </xf>
    <xf numFmtId="49" fontId="0" fillId="0" borderId="0" xfId="0" applyNumberFormat="1" applyAlignment="1">
      <alignment horizontal="center" vertical="center"/>
    </xf>
    <xf numFmtId="0" fontId="0" fillId="7" borderId="0" xfId="0" applyFill="1"/>
    <xf numFmtId="3" fontId="0" fillId="7" borderId="0" xfId="0" applyNumberFormat="1" applyFill="1"/>
    <xf numFmtId="3" fontId="0" fillId="3" borderId="11" xfId="0" applyNumberFormat="1" applyFill="1" applyBorder="1"/>
    <xf numFmtId="3" fontId="0" fillId="5" borderId="11" xfId="0" applyNumberFormat="1" applyFill="1" applyBorder="1"/>
    <xf numFmtId="3" fontId="0" fillId="2" borderId="11" xfId="0" applyNumberFormat="1" applyFill="1" applyBorder="1"/>
    <xf numFmtId="10" fontId="0" fillId="3" borderId="11" xfId="0" applyNumberFormat="1" applyFill="1" applyBorder="1"/>
    <xf numFmtId="3" fontId="0" fillId="6" borderId="11" xfId="0" applyNumberFormat="1" applyFill="1" applyBorder="1"/>
    <xf numFmtId="3" fontId="0" fillId="6" borderId="5" xfId="0" applyNumberFormat="1" applyFill="1" applyBorder="1"/>
    <xf numFmtId="4" fontId="0" fillId="2" borderId="11" xfId="0" applyNumberFormat="1" applyFill="1" applyBorder="1"/>
    <xf numFmtId="4" fontId="0" fillId="2" borderId="5" xfId="0" applyNumberFormat="1" applyFill="1" applyBorder="1"/>
    <xf numFmtId="10" fontId="0" fillId="5" borderId="11" xfId="0" applyNumberFormat="1" applyFill="1" applyBorder="1"/>
    <xf numFmtId="10" fontId="0" fillId="2" borderId="11" xfId="0" applyNumberFormat="1" applyFill="1" applyBorder="1"/>
    <xf numFmtId="10" fontId="0" fillId="7" borderId="0" xfId="0" applyNumberFormat="1" applyFill="1"/>
    <xf numFmtId="4" fontId="0" fillId="6" borderId="11" xfId="0" applyNumberFormat="1" applyFill="1" applyBorder="1"/>
    <xf numFmtId="4" fontId="0" fillId="6" borderId="5" xfId="0" applyNumberFormat="1" applyFill="1" applyBorder="1"/>
    <xf numFmtId="3" fontId="2" fillId="3" borderId="5" xfId="0" applyNumberFormat="1" applyFont="1" applyFill="1" applyBorder="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3" fontId="8" fillId="7" borderId="0" xfId="0" applyNumberFormat="1" applyFont="1" applyFill="1"/>
    <xf numFmtId="49" fontId="2" fillId="5" borderId="11" xfId="0" applyNumberFormat="1" applyFont="1" applyFill="1" applyBorder="1"/>
    <xf numFmtId="49" fontId="9" fillId="2" borderId="1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3" fontId="0" fillId="6" borderId="5" xfId="0" applyNumberFormat="1" applyFill="1" applyBorder="1" applyAlignment="1">
      <alignment horizontal="right"/>
    </xf>
    <xf numFmtId="3" fontId="8" fillId="3" borderId="5" xfId="0" applyNumberFormat="1" applyFont="1" applyFill="1" applyBorder="1"/>
    <xf numFmtId="4" fontId="0" fillId="2" borderId="11" xfId="0" applyNumberFormat="1" applyFill="1" applyBorder="1" applyAlignment="1">
      <alignment horizontal="right"/>
    </xf>
    <xf numFmtId="3" fontId="0" fillId="5" borderId="11" xfId="0" applyNumberFormat="1" applyFill="1" applyBorder="1" applyAlignment="1">
      <alignment horizontal="right"/>
    </xf>
    <xf numFmtId="49" fontId="0" fillId="2" borderId="9" xfId="0" applyNumberFormat="1" applyFill="1" applyBorder="1" applyAlignment="1">
      <alignment horizontal="center"/>
    </xf>
    <xf numFmtId="0" fontId="0" fillId="6" borderId="4" xfId="0" applyFill="1" applyBorder="1" applyAlignment="1">
      <alignment horizontal="center" vertical="center"/>
    </xf>
    <xf numFmtId="0" fontId="0" fillId="6" borderId="13" xfId="0" applyFill="1" applyBorder="1" applyAlignment="1">
      <alignment horizontal="center" vertical="center"/>
    </xf>
    <xf numFmtId="0" fontId="0" fillId="6" borderId="7" xfId="0" applyFill="1" applyBorder="1" applyAlignment="1">
      <alignment horizontal="center" vertical="center"/>
    </xf>
    <xf numFmtId="0" fontId="0" fillId="6" borderId="3" xfId="0" applyFill="1" applyBorder="1" applyAlignment="1">
      <alignment horizontal="center"/>
    </xf>
    <xf numFmtId="0" fontId="0" fillId="6" borderId="1" xfId="0" applyFill="1" applyBorder="1" applyAlignment="1">
      <alignment horizontal="center"/>
    </xf>
    <xf numFmtId="0" fontId="0" fillId="3" borderId="3" xfId="0" applyFill="1" applyBorder="1" applyAlignment="1">
      <alignment horizontal="center"/>
    </xf>
    <xf numFmtId="0" fontId="0" fillId="3" borderId="1" xfId="0" applyFill="1" applyBorder="1" applyAlignment="1">
      <alignment horizontal="center"/>
    </xf>
    <xf numFmtId="0" fontId="1" fillId="4" borderId="6" xfId="0" applyFont="1" applyFill="1" applyBorder="1" applyAlignment="1">
      <alignment horizontal="left" vertical="center" wrapText="1"/>
    </xf>
    <xf numFmtId="0" fontId="0" fillId="6" borderId="15" xfId="0" applyFill="1" applyBorder="1" applyAlignment="1">
      <alignment horizontal="center" vertical="center"/>
    </xf>
    <xf numFmtId="0" fontId="0" fillId="6" borderId="16" xfId="0" applyFill="1" applyBorder="1" applyAlignment="1">
      <alignment horizontal="center" vertical="center"/>
    </xf>
    <xf numFmtId="0" fontId="0" fillId="3" borderId="5" xfId="0" applyFill="1" applyBorder="1" applyAlignment="1">
      <alignment horizontal="center"/>
    </xf>
    <xf numFmtId="0" fontId="0" fillId="3" borderId="4" xfId="0" applyFill="1" applyBorder="1" applyAlignment="1">
      <alignment horizontal="center"/>
    </xf>
    <xf numFmtId="0" fontId="8" fillId="6" borderId="4"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7" xfId="0" applyFont="1" applyFill="1" applyBorder="1" applyAlignment="1">
      <alignment horizontal="center" vertical="center"/>
    </xf>
    <xf numFmtId="0" fontId="0" fillId="2" borderId="4" xfId="0" applyFill="1" applyBorder="1" applyAlignment="1">
      <alignment horizontal="center" vertical="center"/>
    </xf>
    <xf numFmtId="0" fontId="0" fillId="2" borderId="13" xfId="0" applyFill="1" applyBorder="1" applyAlignment="1">
      <alignment horizontal="center" vertical="center"/>
    </xf>
    <xf numFmtId="0" fontId="0" fillId="2" borderId="7" xfId="0" applyFill="1" applyBorder="1" applyAlignment="1">
      <alignment horizontal="center" vertical="center"/>
    </xf>
    <xf numFmtId="0" fontId="0" fillId="2" borderId="3" xfId="0" applyFill="1" applyBorder="1" applyAlignment="1">
      <alignment horizontal="center"/>
    </xf>
    <xf numFmtId="0" fontId="0" fillId="2" borderId="1" xfId="0" applyFill="1" applyBorder="1" applyAlignment="1">
      <alignment horizontal="center"/>
    </xf>
    <xf numFmtId="0" fontId="0" fillId="5" borderId="3" xfId="0" applyFill="1" applyBorder="1" applyAlignment="1">
      <alignment horizontal="center"/>
    </xf>
    <xf numFmtId="0" fontId="0" fillId="5" borderId="1" xfId="0" applyFill="1" applyBorder="1" applyAlignment="1">
      <alignment horizontal="center"/>
    </xf>
    <xf numFmtId="0" fontId="0" fillId="6" borderId="12" xfId="0" applyFill="1" applyBorder="1" applyAlignment="1">
      <alignment horizontal="center" vertical="center"/>
    </xf>
    <xf numFmtId="0" fontId="10" fillId="0" borderId="0" xfId="0" applyFont="1" applyAlignment="1">
      <alignment horizontal="center"/>
    </xf>
    <xf numFmtId="0" fontId="11" fillId="0" borderId="0" xfId="0" applyFont="1" applyAlignment="1">
      <alignment horizontal="center"/>
    </xf>
    <xf numFmtId="0" fontId="1" fillId="4" borderId="0" xfId="0" applyFont="1" applyFill="1" applyAlignment="1">
      <alignment horizontal="center" vertical="center"/>
    </xf>
    <xf numFmtId="0" fontId="1" fillId="4" borderId="6" xfId="0" applyFont="1" applyFill="1" applyBorder="1" applyAlignment="1">
      <alignment horizontal="center" vertical="center"/>
    </xf>
    <xf numFmtId="0" fontId="1" fillId="4" borderId="8" xfId="0" applyFont="1" applyFill="1" applyBorder="1" applyAlignment="1">
      <alignment horizontal="center"/>
    </xf>
    <xf numFmtId="0" fontId="1" fillId="4" borderId="0" xfId="0" applyFont="1" applyFill="1" applyAlignment="1">
      <alignment horizontal="center"/>
    </xf>
    <xf numFmtId="0" fontId="1" fillId="4" borderId="13" xfId="0" applyFont="1" applyFill="1" applyBorder="1" applyAlignment="1">
      <alignment horizontal="center"/>
    </xf>
    <xf numFmtId="0" fontId="1" fillId="4" borderId="6" xfId="0" applyFont="1" applyFill="1" applyBorder="1" applyAlignment="1">
      <alignment horizontal="left" vertical="center"/>
    </xf>
  </cellXfs>
  <cellStyles count="1">
    <cellStyle name="Normal" xfId="0" builtinId="0"/>
  </cellStyles>
  <dxfs count="99">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left>
      </border>
    </dxf>
    <dxf>
      <numFmt numFmtId="30" formatCode="@"/>
    </dxf>
    <dxf>
      <font>
        <b/>
        <i val="0"/>
        <strike val="0"/>
        <condense val="0"/>
        <extend val="0"/>
        <outline val="0"/>
        <shadow val="0"/>
        <u val="none"/>
        <vertAlign val="baseline"/>
        <sz val="11"/>
        <color theme="0"/>
        <name val="Calibri"/>
        <scheme val="minor"/>
      </font>
      <fill>
        <patternFill patternType="solid">
          <fgColor theme="8"/>
          <bgColor theme="8"/>
        </patternFill>
      </fill>
      <border diagonalUp="0" diagonalDown="0" outline="0">
        <left style="thin">
          <color theme="0"/>
        </left>
        <right style="thin">
          <color theme="0"/>
        </right>
        <top/>
        <bottom/>
      </border>
    </dxf>
    <dxf>
      <border outline="0">
        <left style="thin">
          <color theme="0"/>
        </left>
        <top style="thick">
          <color theme="0"/>
        </top>
      </border>
    </dxf>
    <dxf>
      <font>
        <b/>
        <i val="0"/>
        <strike val="0"/>
        <condense val="0"/>
        <extend val="0"/>
        <outline val="0"/>
        <shadow val="0"/>
        <u val="none"/>
        <vertAlign val="baseline"/>
        <sz val="11"/>
        <color theme="0"/>
        <name val="Calibri"/>
        <scheme val="minor"/>
      </font>
      <fill>
        <patternFill patternType="solid">
          <fgColor theme="8"/>
          <bgColor theme="8"/>
        </patternFill>
      </fill>
      <border diagonalUp="0" diagonalDown="0" outline="0">
        <left style="thin">
          <color theme="0"/>
        </left>
        <right style="thin">
          <color theme="0"/>
        </right>
        <top/>
        <bottom/>
      </border>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rgb="FF000000"/>
          <bgColor rgb="FFB4C6E7"/>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rgb="FFFFFFFF"/>
        </left>
      </border>
    </dxf>
    <dxf>
      <numFmt numFmtId="30" formatCode="@"/>
    </dxf>
    <dxf>
      <font>
        <b/>
        <i val="0"/>
        <strike val="0"/>
        <condense val="0"/>
        <extend val="0"/>
        <outline val="0"/>
        <shadow val="0"/>
        <u val="none"/>
        <vertAlign val="baseline"/>
        <sz val="11"/>
        <color theme="0"/>
        <name val="Calibri"/>
        <scheme val="minor"/>
      </font>
      <fill>
        <patternFill patternType="solid">
          <fgColor theme="8"/>
          <bgColor theme="8"/>
        </patternFill>
      </fill>
    </dxf>
    <dxf>
      <border outline="0">
        <left style="thin">
          <color rgb="FFFFFFFF"/>
        </left>
        <top style="thick">
          <color rgb="FFFFFFFF"/>
        </top>
      </border>
    </dxf>
    <dxf>
      <font>
        <b/>
        <i val="0"/>
        <strike val="0"/>
        <condense val="0"/>
        <extend val="0"/>
        <outline val="0"/>
        <shadow val="0"/>
        <u val="none"/>
        <vertAlign val="baseline"/>
        <sz val="11"/>
        <color theme="0"/>
        <name val="Calibri"/>
        <scheme val="minor"/>
      </font>
      <fill>
        <patternFill patternType="solid">
          <fgColor theme="8"/>
          <bgColor theme="8"/>
        </patternFill>
      </fill>
      <border diagonalUp="0" diagonalDown="0" outline="0">
        <left style="thin">
          <color theme="0"/>
        </left>
        <right style="thin">
          <color theme="0"/>
        </right>
        <top/>
        <bottom/>
      </border>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indexed="64"/>
          <bgColor theme="8" tint="0.59999389629810485"/>
        </patternFill>
      </fill>
    </dxf>
    <dxf>
      <fill>
        <patternFill patternType="solid">
          <fgColor rgb="FF000000"/>
          <bgColor rgb="FFB4C6E7"/>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rgb="FFFFFFFF"/>
        </left>
      </border>
    </dxf>
    <dxf>
      <numFmt numFmtId="30" formatCode="@"/>
    </dxf>
    <dxf>
      <font>
        <b/>
        <i val="0"/>
        <strike val="0"/>
        <condense val="0"/>
        <extend val="0"/>
        <outline val="0"/>
        <shadow val="0"/>
        <u val="none"/>
        <vertAlign val="baseline"/>
        <sz val="11"/>
        <color theme="0"/>
        <name val="Calibri"/>
        <scheme val="minor"/>
      </font>
      <fill>
        <patternFill patternType="solid">
          <fgColor theme="8"/>
          <bgColor theme="8"/>
        </patternFill>
      </fill>
    </dxf>
    <dxf>
      <border outline="0">
        <left style="thin">
          <color rgb="FFFFFFFF"/>
        </left>
        <top style="thick">
          <color rgb="FFFFFFFF"/>
        </top>
      </border>
    </dxf>
    <dxf>
      <font>
        <b/>
        <i val="0"/>
        <strike val="0"/>
        <condense val="0"/>
        <extend val="0"/>
        <outline val="0"/>
        <shadow val="0"/>
        <u val="none"/>
        <vertAlign val="baseline"/>
        <sz val="11"/>
        <color theme="0"/>
        <name val="Calibri"/>
        <scheme val="minor"/>
      </font>
      <fill>
        <patternFill patternType="solid">
          <fgColor theme="8"/>
          <bgColor theme="8"/>
        </patternFill>
      </fill>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1019467</xdr:colOff>
      <xdr:row>4</xdr:row>
      <xdr:rowOff>114300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62000" y="0"/>
          <a:ext cx="2095792" cy="1047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1019467</xdr:colOff>
      <xdr:row>4</xdr:row>
      <xdr:rowOff>114300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62000" y="0"/>
          <a:ext cx="2095792" cy="1047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943267</xdr:colOff>
      <xdr:row>4</xdr:row>
      <xdr:rowOff>161925</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19150" y="0"/>
          <a:ext cx="2095792" cy="10953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2252" displayName="Tabla12252" ref="E8:P39" totalsRowShown="0" headerRowDxfId="98" tableBorderDxfId="97">
  <autoFilter ref="E8:P39" xr:uid="{00000000-0009-0000-0100-000001000000}"/>
  <tableColumns count="12">
    <tableColumn id="1" xr3:uid="{00000000-0010-0000-0000-000001000000}" name="ENERO"/>
    <tableColumn id="2" xr3:uid="{00000000-0010-0000-0000-000002000000}" name="FEBRERO"/>
    <tableColumn id="3" xr3:uid="{00000000-0010-0000-0000-000003000000}" name="MARZO"/>
    <tableColumn id="4" xr3:uid="{00000000-0010-0000-0000-000004000000}" name="ABRIL"/>
    <tableColumn id="5" xr3:uid="{00000000-0010-0000-0000-000005000000}" name="MAYO "/>
    <tableColumn id="6" xr3:uid="{00000000-0010-0000-0000-000006000000}" name="JUNIO"/>
    <tableColumn id="7" xr3:uid="{00000000-0010-0000-0000-000007000000}" name="JULIO"/>
    <tableColumn id="8" xr3:uid="{00000000-0010-0000-0000-000008000000}" name="AGOSTO"/>
    <tableColumn id="9" xr3:uid="{00000000-0010-0000-0000-000009000000}" name="SEPTIEMBRE"/>
    <tableColumn id="10" xr3:uid="{00000000-0010-0000-0000-00000A000000}" name="OCTUBRE "/>
    <tableColumn id="11" xr3:uid="{00000000-0010-0000-0000-00000B000000}" name="NOVIEMBRE"/>
    <tableColumn id="12" xr3:uid="{00000000-0010-0000-0000-00000C000000}" name="DICIEMBRE"/>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15363" displayName="Tabla15363" ref="E41:P45" totalsRowShown="0" headerRowDxfId="96" dataDxfId="95" tableBorderDxfId="94">
  <autoFilter ref="E41:P45" xr:uid="{00000000-0009-0000-0100-000002000000}"/>
  <tableColumns count="12">
    <tableColumn id="1" xr3:uid="{00000000-0010-0000-0100-000001000000}" name="ENERO" dataDxfId="93"/>
    <tableColumn id="2" xr3:uid="{00000000-0010-0000-0100-000002000000}" name="FEBRERO" dataDxfId="92"/>
    <tableColumn id="3" xr3:uid="{00000000-0010-0000-0100-000003000000}" name="MARZO" dataDxfId="91"/>
    <tableColumn id="4" xr3:uid="{00000000-0010-0000-0100-000004000000}" name="ABRIL" dataDxfId="90"/>
    <tableColumn id="5" xr3:uid="{00000000-0010-0000-0100-000005000000}" name="MAYO " dataDxfId="89"/>
    <tableColumn id="6" xr3:uid="{00000000-0010-0000-0100-000006000000}" name="JUNIO" dataDxfId="88"/>
    <tableColumn id="7" xr3:uid="{00000000-0010-0000-0100-000007000000}" name="JULIO" dataDxfId="87"/>
    <tableColumn id="8" xr3:uid="{00000000-0010-0000-0100-000008000000}" name="AGOSTO" dataDxfId="86"/>
    <tableColumn id="9" xr3:uid="{00000000-0010-0000-0100-000009000000}" name="SEPTIEMBRE" dataDxfId="85"/>
    <tableColumn id="10" xr3:uid="{00000000-0010-0000-0100-00000A000000}" name="OCTUBRE " dataDxfId="84"/>
    <tableColumn id="11" xr3:uid="{00000000-0010-0000-0100-00000B000000}" name="NOVIEMBRE" dataDxfId="83"/>
    <tableColumn id="12" xr3:uid="{00000000-0010-0000-0100-00000C000000}" name="DICIEMBRE" dataDxfId="82"/>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16474" displayName="Tabla16474" ref="B47:P50" totalsRowShown="0" dataDxfId="81">
  <autoFilter ref="B47:P50" xr:uid="{00000000-0009-0000-0100-000003000000}"/>
  <tableColumns count="15">
    <tableColumn id="1" xr3:uid="{00000000-0010-0000-0200-000001000000}" name="Columna1" dataDxfId="80"/>
    <tableColumn id="2" xr3:uid="{00000000-0010-0000-0200-000002000000}" name="Columna2" dataDxfId="79"/>
    <tableColumn id="3" xr3:uid="{00000000-0010-0000-0200-000003000000}" name="Columna3" dataDxfId="78"/>
    <tableColumn id="4" xr3:uid="{00000000-0010-0000-0200-000004000000}" name="Columna4" dataDxfId="77"/>
    <tableColumn id="5" xr3:uid="{00000000-0010-0000-0200-000005000000}" name="Columna5" dataDxfId="76"/>
    <tableColumn id="6" xr3:uid="{00000000-0010-0000-0200-000006000000}" name="Columna6" dataDxfId="75"/>
    <tableColumn id="7" xr3:uid="{00000000-0010-0000-0200-000007000000}" name="Columna7" dataDxfId="74"/>
    <tableColumn id="8" xr3:uid="{00000000-0010-0000-0200-000008000000}" name="Columna8" dataDxfId="73"/>
    <tableColumn id="9" xr3:uid="{00000000-0010-0000-0200-000009000000}" name="Columna9" dataDxfId="72"/>
    <tableColumn id="10" xr3:uid="{00000000-0010-0000-0200-00000A000000}" name="Columna10" dataDxfId="71"/>
    <tableColumn id="11" xr3:uid="{00000000-0010-0000-0200-00000B000000}" name="Columna11" dataDxfId="70"/>
    <tableColumn id="12" xr3:uid="{00000000-0010-0000-0200-00000C000000}" name="Columna12" dataDxfId="69"/>
    <tableColumn id="13" xr3:uid="{00000000-0010-0000-0200-00000D000000}" name="Columna13" dataDxfId="68"/>
    <tableColumn id="14" xr3:uid="{00000000-0010-0000-0200-00000E000000}" name="Columna14" dataDxfId="67"/>
    <tableColumn id="15" xr3:uid="{00000000-0010-0000-0200-00000F000000}" name="Columna15" dataDxfId="66"/>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1225" displayName="Tabla1225" ref="E8:P39" totalsRowShown="0" headerRowDxfId="65" tableBorderDxfId="64">
  <autoFilter ref="E8:P39" xr:uid="{00000000-0009-0000-0100-000004000000}"/>
  <tableColumns count="12">
    <tableColumn id="1" xr3:uid="{00000000-0010-0000-0300-000001000000}" name="ENERO"/>
    <tableColumn id="2" xr3:uid="{00000000-0010-0000-0300-000002000000}" name="FEBRERO"/>
    <tableColumn id="3" xr3:uid="{00000000-0010-0000-0300-000003000000}" name="MARZO"/>
    <tableColumn id="4" xr3:uid="{00000000-0010-0000-0300-000004000000}" name="ABRIL"/>
    <tableColumn id="5" xr3:uid="{00000000-0010-0000-0300-000005000000}" name="MAYO "/>
    <tableColumn id="6" xr3:uid="{00000000-0010-0000-0300-000006000000}" name="JUNIO"/>
    <tableColumn id="7" xr3:uid="{00000000-0010-0000-0300-000007000000}" name="JULIO"/>
    <tableColumn id="8" xr3:uid="{00000000-0010-0000-0300-000008000000}" name="AGOSTO"/>
    <tableColumn id="9" xr3:uid="{00000000-0010-0000-0300-000009000000}" name="SEPTIEMBRE"/>
    <tableColumn id="10" xr3:uid="{00000000-0010-0000-0300-00000A000000}" name="OCTUBRE "/>
    <tableColumn id="11" xr3:uid="{00000000-0010-0000-0300-00000B000000}" name="NOVIEMBRE"/>
    <tableColumn id="12" xr3:uid="{00000000-0010-0000-0300-00000C000000}" name="DICIEMBRE"/>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1536" displayName="Tabla1536" ref="E41:P45" totalsRowShown="0" headerRowDxfId="63" dataDxfId="62" tableBorderDxfId="61">
  <autoFilter ref="E41:P45" xr:uid="{00000000-0009-0000-0100-000005000000}"/>
  <tableColumns count="12">
    <tableColumn id="1" xr3:uid="{00000000-0010-0000-0400-000001000000}" name="ENERO" dataDxfId="60"/>
    <tableColumn id="2" xr3:uid="{00000000-0010-0000-0400-000002000000}" name="FEBRERO" dataDxfId="59"/>
    <tableColumn id="3" xr3:uid="{00000000-0010-0000-0400-000003000000}" name="MARZO" dataDxfId="58"/>
    <tableColumn id="4" xr3:uid="{00000000-0010-0000-0400-000004000000}" name="ABRIL" dataDxfId="57"/>
    <tableColumn id="5" xr3:uid="{00000000-0010-0000-0400-000005000000}" name="MAYO " dataDxfId="56"/>
    <tableColumn id="6" xr3:uid="{00000000-0010-0000-0400-000006000000}" name="JUNIO" dataDxfId="55"/>
    <tableColumn id="7" xr3:uid="{00000000-0010-0000-0400-000007000000}" name="JULIO" dataDxfId="54"/>
    <tableColumn id="8" xr3:uid="{00000000-0010-0000-0400-000008000000}" name="AGOSTO" dataDxfId="53"/>
    <tableColumn id="9" xr3:uid="{00000000-0010-0000-0400-000009000000}" name="SEPTIEMBRE" dataDxfId="52"/>
    <tableColumn id="10" xr3:uid="{00000000-0010-0000-0400-00000A000000}" name="OCTUBRE " dataDxfId="51"/>
    <tableColumn id="11" xr3:uid="{00000000-0010-0000-0400-00000B000000}" name="NOVIEMBRE" dataDxfId="50"/>
    <tableColumn id="12" xr3:uid="{00000000-0010-0000-0400-00000C000000}" name="DICIEMBRE" dataDxfId="49"/>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1647" displayName="Tabla1647" ref="B47:P50" totalsRowShown="0" dataDxfId="48">
  <autoFilter ref="B47:P50" xr:uid="{00000000-0009-0000-0100-000006000000}"/>
  <tableColumns count="15">
    <tableColumn id="1" xr3:uid="{00000000-0010-0000-0500-000001000000}" name="Columna1" dataDxfId="47"/>
    <tableColumn id="2" xr3:uid="{00000000-0010-0000-0500-000002000000}" name="Columna2" dataDxfId="46"/>
    <tableColumn id="3" xr3:uid="{00000000-0010-0000-0500-000003000000}" name="Columna3" dataDxfId="45"/>
    <tableColumn id="4" xr3:uid="{00000000-0010-0000-0500-000004000000}" name="Columna4" dataDxfId="44"/>
    <tableColumn id="5" xr3:uid="{00000000-0010-0000-0500-000005000000}" name="Columna5" dataDxfId="43"/>
    <tableColumn id="6" xr3:uid="{00000000-0010-0000-0500-000006000000}" name="Columna6" dataDxfId="42"/>
    <tableColumn id="7" xr3:uid="{00000000-0010-0000-0500-000007000000}" name="Columna7" dataDxfId="41"/>
    <tableColumn id="8" xr3:uid="{00000000-0010-0000-0500-000008000000}" name="Columna8" dataDxfId="40"/>
    <tableColumn id="9" xr3:uid="{00000000-0010-0000-0500-000009000000}" name="Columna9" dataDxfId="39"/>
    <tableColumn id="10" xr3:uid="{00000000-0010-0000-0500-00000A000000}" name="Columna10" dataDxfId="38"/>
    <tableColumn id="11" xr3:uid="{00000000-0010-0000-0500-00000B000000}" name="Columna11" dataDxfId="37"/>
    <tableColumn id="12" xr3:uid="{00000000-0010-0000-0500-00000C000000}" name="Columna12" dataDxfId="36"/>
    <tableColumn id="13" xr3:uid="{00000000-0010-0000-0500-00000D000000}" name="Columna13" dataDxfId="35"/>
    <tableColumn id="14" xr3:uid="{00000000-0010-0000-0500-00000E000000}" name="Columna14" dataDxfId="34"/>
    <tableColumn id="15" xr3:uid="{00000000-0010-0000-0500-00000F000000}" name="Columna15" dataDxfId="33"/>
  </tableColumns>
  <tableStyleInfo name="TableStyleMedium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Tabla12" displayName="Tabla12" ref="E9:P40" totalsRowShown="0" headerRowDxfId="32" tableBorderDxfId="31">
  <autoFilter ref="E9:P40" xr:uid="{00000000-0009-0000-0100-00000C000000}"/>
  <tableColumns count="12">
    <tableColumn id="1" xr3:uid="{00000000-0010-0000-0600-000001000000}" name="ENERO"/>
    <tableColumn id="2" xr3:uid="{00000000-0010-0000-0600-000002000000}" name="FEBRERO"/>
    <tableColumn id="3" xr3:uid="{00000000-0010-0000-0600-000003000000}" name="MARZO"/>
    <tableColumn id="4" xr3:uid="{00000000-0010-0000-0600-000004000000}" name="ABRIL"/>
    <tableColumn id="5" xr3:uid="{00000000-0010-0000-0600-000005000000}" name="MAYO "/>
    <tableColumn id="6" xr3:uid="{00000000-0010-0000-0600-000006000000}" name="JUNIO"/>
    <tableColumn id="7" xr3:uid="{00000000-0010-0000-0600-000007000000}" name="JULIO"/>
    <tableColumn id="8" xr3:uid="{00000000-0010-0000-0600-000008000000}" name="AGOSTO"/>
    <tableColumn id="9" xr3:uid="{00000000-0010-0000-0600-000009000000}" name="SEPTIEMBRE"/>
    <tableColumn id="10" xr3:uid="{00000000-0010-0000-0600-00000A000000}" name="OCTUBRE "/>
    <tableColumn id="11" xr3:uid="{00000000-0010-0000-0600-00000B000000}" name="NOVIEMBRE"/>
    <tableColumn id="12" xr3:uid="{00000000-0010-0000-0600-00000C000000}" name="DICIEMBRE"/>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7000000}" name="Tabla15" displayName="Tabla15" ref="E42:P46" totalsRowShown="0" headerRowDxfId="30" dataDxfId="29" tableBorderDxfId="28">
  <autoFilter ref="E42:P46" xr:uid="{00000000-0009-0000-0100-00000F000000}"/>
  <tableColumns count="12">
    <tableColumn id="1" xr3:uid="{00000000-0010-0000-0700-000001000000}" name="Columna4" dataDxfId="27"/>
    <tableColumn id="2" xr3:uid="{00000000-0010-0000-0700-000002000000}" name="Columna5" dataDxfId="26"/>
    <tableColumn id="3" xr3:uid="{00000000-0010-0000-0700-000003000000}" name="Columna6" dataDxfId="25"/>
    <tableColumn id="4" xr3:uid="{00000000-0010-0000-0700-000004000000}" name="Columna7" dataDxfId="24"/>
    <tableColumn id="5" xr3:uid="{00000000-0010-0000-0700-000005000000}" name="Columna8" dataDxfId="23"/>
    <tableColumn id="6" xr3:uid="{00000000-0010-0000-0700-000006000000}" name="Columna9" dataDxfId="22"/>
    <tableColumn id="7" xr3:uid="{00000000-0010-0000-0700-000007000000}" name="Columna10" dataDxfId="21"/>
    <tableColumn id="8" xr3:uid="{00000000-0010-0000-0700-000008000000}" name="Columna11" dataDxfId="20"/>
    <tableColumn id="9" xr3:uid="{00000000-0010-0000-0700-000009000000}" name="Columna12" dataDxfId="19"/>
    <tableColumn id="10" xr3:uid="{00000000-0010-0000-0700-00000A000000}" name="Columna13" dataDxfId="18"/>
    <tableColumn id="11" xr3:uid="{00000000-0010-0000-0700-00000B000000}" name="Columna14" dataDxfId="17"/>
    <tableColumn id="12" xr3:uid="{00000000-0010-0000-0700-00000C000000}" name="Columna15" dataDxfId="16"/>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8000000}" name="Tabla16" displayName="Tabla16" ref="B48:P51" totalsRowShown="0" dataDxfId="15">
  <autoFilter ref="B48:P51" xr:uid="{00000000-0009-0000-0100-000010000000}"/>
  <tableColumns count="15">
    <tableColumn id="1" xr3:uid="{00000000-0010-0000-0800-000001000000}" name="Columna1" dataDxfId="14"/>
    <tableColumn id="2" xr3:uid="{00000000-0010-0000-0800-000002000000}" name="Columna2" dataDxfId="13"/>
    <tableColumn id="3" xr3:uid="{00000000-0010-0000-0800-000003000000}" name="Columna3" dataDxfId="12"/>
    <tableColumn id="4" xr3:uid="{00000000-0010-0000-0800-000004000000}" name="Columna4" dataDxfId="11"/>
    <tableColumn id="5" xr3:uid="{00000000-0010-0000-0800-000005000000}" name="Columna5" dataDxfId="10"/>
    <tableColumn id="6" xr3:uid="{00000000-0010-0000-0800-000006000000}" name="Columna6" dataDxfId="9"/>
    <tableColumn id="7" xr3:uid="{00000000-0010-0000-0800-000007000000}" name="Columna7" dataDxfId="8"/>
    <tableColumn id="8" xr3:uid="{00000000-0010-0000-0800-000008000000}" name="Columna8" dataDxfId="7"/>
    <tableColumn id="9" xr3:uid="{00000000-0010-0000-0800-000009000000}" name="Columna9" dataDxfId="6"/>
    <tableColumn id="10" xr3:uid="{00000000-0010-0000-0800-00000A000000}" name="Columna10" dataDxfId="5"/>
    <tableColumn id="11" xr3:uid="{00000000-0010-0000-0800-00000B000000}" name="Columna11" dataDxfId="4"/>
    <tableColumn id="12" xr3:uid="{00000000-0010-0000-0800-00000C000000}" name="Columna12" dataDxfId="3"/>
    <tableColumn id="13" xr3:uid="{00000000-0010-0000-0800-00000D000000}" name="Columna13" dataDxfId="2"/>
    <tableColumn id="14" xr3:uid="{00000000-0010-0000-0800-00000E000000}" name="Columna14" dataDxfId="1"/>
    <tableColumn id="15" xr3:uid="{00000000-0010-0000-0800-00000F000000}" name="Columna15" dataDxfId="0"/>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P55"/>
  <sheetViews>
    <sheetView tabSelected="1" workbookViewId="0"/>
  </sheetViews>
  <sheetFormatPr baseColWidth="10" defaultRowHeight="15" x14ac:dyDescent="0.25"/>
  <cols>
    <col min="2" max="2" width="16.140625" customWidth="1"/>
    <col min="3" max="3" width="16.42578125" customWidth="1"/>
    <col min="4" max="4" width="18.28515625" customWidth="1"/>
    <col min="5" max="10" width="12" customWidth="1"/>
    <col min="11" max="12" width="13" customWidth="1"/>
    <col min="13" max="13" width="14" customWidth="1"/>
    <col min="14" max="14" width="13" customWidth="1"/>
    <col min="15" max="15" width="14" customWidth="1"/>
    <col min="16" max="16" width="13" customWidth="1"/>
  </cols>
  <sheetData>
    <row r="2" spans="2:16" ht="21" x14ac:dyDescent="0.35">
      <c r="D2" s="75" t="s">
        <v>57</v>
      </c>
      <c r="E2" s="75"/>
      <c r="F2" s="75"/>
      <c r="G2" s="75"/>
      <c r="H2" s="75"/>
      <c r="I2" s="75"/>
      <c r="J2" s="75"/>
      <c r="K2" s="75"/>
      <c r="L2" s="75"/>
      <c r="M2" s="75"/>
      <c r="N2" s="75"/>
      <c r="O2" s="75"/>
      <c r="P2" s="75"/>
    </row>
    <row r="4" spans="2:16" ht="22.5" customHeight="1" x14ac:dyDescent="0.35">
      <c r="D4" s="76" t="s">
        <v>60</v>
      </c>
      <c r="E4" s="76"/>
      <c r="F4" s="76"/>
      <c r="G4" s="76"/>
      <c r="H4" s="76"/>
      <c r="I4" s="76"/>
      <c r="J4" s="76"/>
      <c r="K4" s="76"/>
      <c r="L4" s="76"/>
      <c r="M4" s="76"/>
      <c r="N4" s="76"/>
      <c r="O4" s="76"/>
      <c r="P4" s="76"/>
    </row>
    <row r="7" spans="2:16" x14ac:dyDescent="0.25">
      <c r="B7" s="77" t="s">
        <v>0</v>
      </c>
      <c r="C7" s="77" t="s">
        <v>1</v>
      </c>
      <c r="D7" s="77" t="s">
        <v>2</v>
      </c>
      <c r="E7" s="79" t="s">
        <v>34</v>
      </c>
      <c r="F7" s="80"/>
      <c r="G7" s="80"/>
      <c r="H7" s="80"/>
      <c r="I7" s="80"/>
      <c r="J7" s="80"/>
      <c r="K7" s="80"/>
      <c r="L7" s="80"/>
      <c r="M7" s="80"/>
      <c r="N7" s="80"/>
      <c r="O7" s="80"/>
      <c r="P7" s="81"/>
    </row>
    <row r="8" spans="2:16" ht="15.75" thickBot="1" x14ac:dyDescent="0.3">
      <c r="B8" s="78"/>
      <c r="C8" s="78"/>
      <c r="D8" s="78"/>
      <c r="E8" s="4" t="s">
        <v>3</v>
      </c>
      <c r="F8" s="5" t="s">
        <v>4</v>
      </c>
      <c r="G8" s="5" t="s">
        <v>5</v>
      </c>
      <c r="H8" s="5" t="s">
        <v>6</v>
      </c>
      <c r="I8" s="5" t="s">
        <v>7</v>
      </c>
      <c r="J8" s="5" t="s">
        <v>8</v>
      </c>
      <c r="K8" s="5" t="s">
        <v>9</v>
      </c>
      <c r="L8" s="5" t="s">
        <v>10</v>
      </c>
      <c r="M8" s="5" t="s">
        <v>11</v>
      </c>
      <c r="N8" s="5" t="s">
        <v>12</v>
      </c>
      <c r="O8" s="5" t="s">
        <v>13</v>
      </c>
      <c r="P8" s="5" t="s">
        <v>14</v>
      </c>
    </row>
    <row r="9" spans="2:16" ht="15.75" thickTop="1" x14ac:dyDescent="0.25">
      <c r="B9" s="74" t="s">
        <v>29</v>
      </c>
      <c r="C9" s="13" t="s">
        <v>30</v>
      </c>
      <c r="D9" s="13">
        <v>32</v>
      </c>
      <c r="E9" s="14">
        <v>11.8</v>
      </c>
      <c r="F9" s="13">
        <v>11.82</v>
      </c>
      <c r="G9" s="13">
        <v>24.65</v>
      </c>
      <c r="H9" s="13">
        <v>24.32</v>
      </c>
      <c r="I9" s="13">
        <v>24.3</v>
      </c>
      <c r="J9" s="13">
        <v>24.01</v>
      </c>
      <c r="K9" s="13">
        <v>23.63</v>
      </c>
      <c r="L9" s="13">
        <v>22.93</v>
      </c>
      <c r="M9" s="13"/>
      <c r="N9" s="13"/>
      <c r="O9" s="13"/>
      <c r="P9" s="13"/>
    </row>
    <row r="10" spans="2:16" x14ac:dyDescent="0.25">
      <c r="B10" s="53"/>
      <c r="C10" s="3" t="s">
        <v>31</v>
      </c>
      <c r="D10" s="6">
        <v>5640766</v>
      </c>
      <c r="E10" s="24">
        <v>460352</v>
      </c>
      <c r="F10" s="6">
        <v>462404</v>
      </c>
      <c r="G10" s="6">
        <v>2971555</v>
      </c>
      <c r="H10" s="6">
        <v>2932913</v>
      </c>
      <c r="I10" s="6">
        <v>2868151</v>
      </c>
      <c r="J10" s="6">
        <v>2783991</v>
      </c>
      <c r="K10" s="6">
        <v>2675780</v>
      </c>
      <c r="L10" s="6">
        <v>2482504</v>
      </c>
      <c r="M10" s="6"/>
      <c r="N10" s="6"/>
      <c r="O10" s="6"/>
      <c r="P10" s="6"/>
    </row>
    <row r="11" spans="2:16" x14ac:dyDescent="0.25">
      <c r="B11" s="53"/>
      <c r="C11" s="55" t="s">
        <v>32</v>
      </c>
      <c r="D11" s="56"/>
      <c r="E11" s="29">
        <f>E10-'2025'!P10</f>
        <v>152015</v>
      </c>
      <c r="F11" s="29">
        <f t="shared" ref="F11" si="0">F10-E10</f>
        <v>2052</v>
      </c>
      <c r="G11" s="29">
        <f t="shared" ref="G11" si="1">G10-F10</f>
        <v>2509151</v>
      </c>
      <c r="H11" s="29">
        <f>IF(H10=0," ",H10-G10)</f>
        <v>-38642</v>
      </c>
      <c r="I11" s="29">
        <f t="shared" ref="I11:P11" si="2">IF(I10=0," ",I10-H10)</f>
        <v>-64762</v>
      </c>
      <c r="J11" s="29">
        <f t="shared" si="2"/>
        <v>-84160</v>
      </c>
      <c r="K11" s="29">
        <f t="shared" si="2"/>
        <v>-108211</v>
      </c>
      <c r="L11" s="29">
        <f t="shared" si="2"/>
        <v>-193276</v>
      </c>
      <c r="M11" s="29" t="str">
        <f t="shared" si="2"/>
        <v xml:space="preserve"> </v>
      </c>
      <c r="N11" s="29" t="str">
        <f t="shared" si="2"/>
        <v xml:space="preserve"> </v>
      </c>
      <c r="O11" s="29" t="str">
        <f t="shared" si="2"/>
        <v xml:space="preserve"> </v>
      </c>
      <c r="P11" s="29" t="str">
        <f t="shared" si="2"/>
        <v xml:space="preserve"> </v>
      </c>
    </row>
    <row r="12" spans="2:16" x14ac:dyDescent="0.25">
      <c r="B12" s="54"/>
      <c r="C12" s="57" t="s">
        <v>33</v>
      </c>
      <c r="D12" s="58"/>
      <c r="E12" s="27">
        <f>E10/$D$10</f>
        <v>8.1611610905327397E-2</v>
      </c>
      <c r="F12" s="27">
        <f t="shared" ref="F12:P12" si="3">F10/$D$10</f>
        <v>8.1975391285509805E-2</v>
      </c>
      <c r="G12" s="27">
        <f t="shared" si="3"/>
        <v>0.52679990625386697</v>
      </c>
      <c r="H12" s="27">
        <f t="shared" si="3"/>
        <v>0.519949418217313</v>
      </c>
      <c r="I12" s="27">
        <f t="shared" si="3"/>
        <v>0.5084683534115757</v>
      </c>
      <c r="J12" s="27">
        <f t="shared" si="3"/>
        <v>0.49354839395926015</v>
      </c>
      <c r="K12" s="27">
        <f t="shared" si="3"/>
        <v>0.47436465189302301</v>
      </c>
      <c r="L12" s="27">
        <f t="shared" si="3"/>
        <v>0.44010051117170967</v>
      </c>
      <c r="M12" s="27">
        <f t="shared" si="3"/>
        <v>0</v>
      </c>
      <c r="N12" s="27">
        <f t="shared" si="3"/>
        <v>0</v>
      </c>
      <c r="O12" s="27">
        <f t="shared" si="3"/>
        <v>0</v>
      </c>
      <c r="P12" s="27">
        <f t="shared" si="3"/>
        <v>0</v>
      </c>
    </row>
    <row r="13" spans="2:16" x14ac:dyDescent="0.25">
      <c r="B13" s="67" t="s">
        <v>35</v>
      </c>
      <c r="C13" s="2" t="s">
        <v>30</v>
      </c>
      <c r="D13" s="2">
        <v>40</v>
      </c>
      <c r="E13" s="30">
        <v>9.25</v>
      </c>
      <c r="F13" s="31">
        <v>9.32</v>
      </c>
      <c r="G13" s="31">
        <v>40</v>
      </c>
      <c r="H13" s="31">
        <v>38.67</v>
      </c>
      <c r="I13" s="31">
        <v>37.65</v>
      </c>
      <c r="J13" s="31">
        <v>36.65</v>
      </c>
      <c r="K13" s="31">
        <v>35.35</v>
      </c>
      <c r="L13" s="31">
        <v>34.1</v>
      </c>
      <c r="M13" s="31"/>
      <c r="N13" s="31"/>
      <c r="O13" s="31"/>
      <c r="P13" s="31"/>
    </row>
    <row r="14" spans="2:16" x14ac:dyDescent="0.25">
      <c r="B14" s="68"/>
      <c r="C14" s="10" t="s">
        <v>31</v>
      </c>
      <c r="D14" s="15">
        <v>1849055</v>
      </c>
      <c r="E14" s="25">
        <v>6497</v>
      </c>
      <c r="F14" s="15">
        <v>6837</v>
      </c>
      <c r="G14" s="15">
        <v>1849055</v>
      </c>
      <c r="H14" s="15">
        <v>1687719</v>
      </c>
      <c r="I14" s="15">
        <v>1568551</v>
      </c>
      <c r="J14" s="15">
        <v>1456887</v>
      </c>
      <c r="K14" s="15">
        <v>1317979</v>
      </c>
      <c r="L14" s="15">
        <v>1190782</v>
      </c>
      <c r="M14" s="15"/>
      <c r="N14" s="15"/>
      <c r="O14" s="15"/>
      <c r="P14" s="15"/>
    </row>
    <row r="15" spans="2:16" x14ac:dyDescent="0.25">
      <c r="B15" s="68"/>
      <c r="C15" s="70" t="s">
        <v>32</v>
      </c>
      <c r="D15" s="71"/>
      <c r="E15" s="9">
        <f>E14-'2025'!P14</f>
        <v>0</v>
      </c>
      <c r="F15" s="9">
        <f>IF(F14=0," ", F14-E14)</f>
        <v>340</v>
      </c>
      <c r="G15" s="9">
        <f>IF(G14=0," ",G14-F14)</f>
        <v>1842218</v>
      </c>
      <c r="H15" s="9">
        <f t="shared" ref="H15:P15" si="4">IF(H14=0," ", H14-G14)</f>
        <v>-161336</v>
      </c>
      <c r="I15" s="9">
        <f t="shared" si="4"/>
        <v>-119168</v>
      </c>
      <c r="J15" s="9">
        <f t="shared" si="4"/>
        <v>-111664</v>
      </c>
      <c r="K15" s="9">
        <f t="shared" si="4"/>
        <v>-138908</v>
      </c>
      <c r="L15" s="9">
        <f t="shared" si="4"/>
        <v>-127197</v>
      </c>
      <c r="M15" s="9" t="str">
        <f t="shared" si="4"/>
        <v xml:space="preserve"> </v>
      </c>
      <c r="N15" s="9" t="str">
        <f t="shared" si="4"/>
        <v xml:space="preserve"> </v>
      </c>
      <c r="O15" s="9" t="str">
        <f t="shared" si="4"/>
        <v xml:space="preserve"> </v>
      </c>
      <c r="P15" s="9" t="str">
        <f t="shared" si="4"/>
        <v xml:space="preserve"> </v>
      </c>
    </row>
    <row r="16" spans="2:16" x14ac:dyDescent="0.25">
      <c r="B16" s="69"/>
      <c r="C16" s="72" t="s">
        <v>33</v>
      </c>
      <c r="D16" s="73"/>
      <c r="E16" s="32">
        <f>E14/$D$14</f>
        <v>3.513686721054809E-3</v>
      </c>
      <c r="F16" s="32">
        <f t="shared" ref="F16:P16" si="5">F14/$D$14</f>
        <v>3.6975644315609866E-3</v>
      </c>
      <c r="G16" s="32">
        <f t="shared" si="5"/>
        <v>1</v>
      </c>
      <c r="H16" s="32">
        <f t="shared" si="5"/>
        <v>0.9127467814640452</v>
      </c>
      <c r="I16" s="32">
        <f t="shared" si="5"/>
        <v>0.84829872556522112</v>
      </c>
      <c r="J16" s="32">
        <f t="shared" si="5"/>
        <v>0.78790895890062762</v>
      </c>
      <c r="K16" s="32">
        <f t="shared" si="5"/>
        <v>0.71278517945653319</v>
      </c>
      <c r="L16" s="32">
        <f t="shared" si="5"/>
        <v>0.64399490550578542</v>
      </c>
      <c r="M16" s="32">
        <f t="shared" si="5"/>
        <v>0</v>
      </c>
      <c r="N16" s="32">
        <f t="shared" si="5"/>
        <v>0</v>
      </c>
      <c r="O16" s="32">
        <f t="shared" si="5"/>
        <v>0</v>
      </c>
      <c r="P16" s="32">
        <f t="shared" si="5"/>
        <v>0</v>
      </c>
    </row>
    <row r="17" spans="2:16" x14ac:dyDescent="0.25">
      <c r="B17" s="52" t="s">
        <v>36</v>
      </c>
      <c r="C17" s="11" t="s">
        <v>30</v>
      </c>
      <c r="D17" s="11">
        <v>42</v>
      </c>
      <c r="E17" s="35">
        <v>30.81</v>
      </c>
      <c r="F17" s="36">
        <v>30.57</v>
      </c>
      <c r="G17" s="36">
        <v>42</v>
      </c>
      <c r="H17" s="36">
        <v>42</v>
      </c>
      <c r="I17" s="36">
        <v>42</v>
      </c>
      <c r="J17" s="36">
        <v>41.9</v>
      </c>
      <c r="K17" s="36">
        <v>41.75</v>
      </c>
      <c r="L17" s="36">
        <v>41.7</v>
      </c>
      <c r="M17" s="36"/>
      <c r="N17" s="36"/>
      <c r="O17" s="36"/>
      <c r="P17" s="36"/>
    </row>
    <row r="18" spans="2:16" x14ac:dyDescent="0.25">
      <c r="B18" s="53"/>
      <c r="C18" s="3" t="s">
        <v>31</v>
      </c>
      <c r="D18" s="6">
        <v>1348707</v>
      </c>
      <c r="E18" s="24">
        <v>590141</v>
      </c>
      <c r="F18" s="6">
        <v>577415</v>
      </c>
      <c r="G18" s="6">
        <v>1348707</v>
      </c>
      <c r="H18" s="6">
        <v>1348707</v>
      </c>
      <c r="I18" s="6">
        <v>1348707</v>
      </c>
      <c r="J18" s="6">
        <v>1340842</v>
      </c>
      <c r="K18" s="6">
        <v>1329081</v>
      </c>
      <c r="L18" s="6">
        <v>1324388</v>
      </c>
      <c r="M18" s="6"/>
      <c r="N18" s="6"/>
      <c r="O18" s="6"/>
      <c r="P18" s="6"/>
    </row>
    <row r="19" spans="2:16" x14ac:dyDescent="0.25">
      <c r="B19" s="53"/>
      <c r="C19" s="55" t="s">
        <v>32</v>
      </c>
      <c r="D19" s="56"/>
      <c r="E19" s="29">
        <f>E18-'2025'!P14</f>
        <v>583644</v>
      </c>
      <c r="F19" s="29">
        <f>IF(F18=0," ",F18-E18)</f>
        <v>-12726</v>
      </c>
      <c r="G19" s="29">
        <f>IF(G18=0," ",G18-F18)</f>
        <v>771292</v>
      </c>
      <c r="H19" s="29">
        <f>IF(H18=0," ",H18-G18)</f>
        <v>0</v>
      </c>
      <c r="I19" s="29">
        <f t="shared" ref="I19:P19" si="6">IF(I18=0," ",I18-H18)</f>
        <v>0</v>
      </c>
      <c r="J19" s="29">
        <f t="shared" si="6"/>
        <v>-7865</v>
      </c>
      <c r="K19" s="29">
        <f t="shared" si="6"/>
        <v>-11761</v>
      </c>
      <c r="L19" s="29">
        <f t="shared" si="6"/>
        <v>-4693</v>
      </c>
      <c r="M19" s="29" t="str">
        <f t="shared" si="6"/>
        <v xml:space="preserve"> </v>
      </c>
      <c r="N19" s="29" t="str">
        <f t="shared" si="6"/>
        <v xml:space="preserve"> </v>
      </c>
      <c r="O19" s="29" t="str">
        <f t="shared" si="6"/>
        <v xml:space="preserve"> </v>
      </c>
      <c r="P19" s="29" t="str">
        <f t="shared" si="6"/>
        <v xml:space="preserve"> </v>
      </c>
    </row>
    <row r="20" spans="2:16" x14ac:dyDescent="0.25">
      <c r="B20" s="54"/>
      <c r="C20" s="57" t="s">
        <v>33</v>
      </c>
      <c r="D20" s="58"/>
      <c r="E20" s="27">
        <f>E18/$D$18</f>
        <v>0.43756056726924381</v>
      </c>
      <c r="F20" s="27">
        <f t="shared" ref="F20:P20" si="7">F18/$D$18</f>
        <v>0.42812486329499289</v>
      </c>
      <c r="G20" s="27">
        <f t="shared" si="7"/>
        <v>1</v>
      </c>
      <c r="H20" s="27">
        <f t="shared" si="7"/>
        <v>1</v>
      </c>
      <c r="I20" s="27">
        <f t="shared" si="7"/>
        <v>1</v>
      </c>
      <c r="J20" s="27">
        <f t="shared" si="7"/>
        <v>0.99416848878221886</v>
      </c>
      <c r="K20" s="27">
        <f t="shared" si="7"/>
        <v>0.98544828491288328</v>
      </c>
      <c r="L20" s="27">
        <f t="shared" si="7"/>
        <v>0.98196865590524851</v>
      </c>
      <c r="M20" s="27">
        <f t="shared" si="7"/>
        <v>0</v>
      </c>
      <c r="N20" s="27">
        <f t="shared" si="7"/>
        <v>0</v>
      </c>
      <c r="O20" s="27">
        <f t="shared" si="7"/>
        <v>0</v>
      </c>
      <c r="P20" s="27">
        <f t="shared" si="7"/>
        <v>0</v>
      </c>
    </row>
    <row r="21" spans="2:16" x14ac:dyDescent="0.25">
      <c r="B21" s="67" t="s">
        <v>37</v>
      </c>
      <c r="C21" s="2" t="s">
        <v>30</v>
      </c>
      <c r="D21" s="2">
        <v>35</v>
      </c>
      <c r="E21" s="49" t="s">
        <v>61</v>
      </c>
      <c r="F21" s="31">
        <v>25.06</v>
      </c>
      <c r="G21" s="31">
        <v>35</v>
      </c>
      <c r="H21" s="31">
        <v>34.700000000000003</v>
      </c>
      <c r="I21" s="31">
        <v>34.479999999999997</v>
      </c>
      <c r="J21" s="31">
        <v>34.299999999999997</v>
      </c>
      <c r="K21" s="31">
        <v>34.090000000000003</v>
      </c>
      <c r="L21" s="31">
        <v>33.799999999999997</v>
      </c>
      <c r="M21" s="31"/>
      <c r="N21" s="31"/>
      <c r="O21" s="31"/>
      <c r="P21" s="31"/>
    </row>
    <row r="22" spans="2:16" x14ac:dyDescent="0.25">
      <c r="B22" s="68"/>
      <c r="C22" s="10" t="s">
        <v>31</v>
      </c>
      <c r="D22" s="15">
        <v>759685</v>
      </c>
      <c r="E22" s="50">
        <v>242207</v>
      </c>
      <c r="F22" s="15">
        <v>233031</v>
      </c>
      <c r="G22" s="15">
        <v>759685</v>
      </c>
      <c r="H22" s="15">
        <v>737847</v>
      </c>
      <c r="I22" s="15">
        <v>722095</v>
      </c>
      <c r="J22" s="15">
        <v>709375</v>
      </c>
      <c r="K22" s="15">
        <v>694731</v>
      </c>
      <c r="L22" s="15">
        <v>674850</v>
      </c>
      <c r="M22" s="15"/>
      <c r="N22" s="15"/>
      <c r="O22" s="15"/>
      <c r="P22" s="15"/>
    </row>
    <row r="23" spans="2:16" x14ac:dyDescent="0.25">
      <c r="B23" s="68"/>
      <c r="C23" s="70" t="s">
        <v>32</v>
      </c>
      <c r="D23" s="71"/>
      <c r="E23" s="9">
        <f>E22-'2025'!P22</f>
        <v>59839</v>
      </c>
      <c r="F23" s="9">
        <f>IF(F22=0," ",F22-E22)</f>
        <v>-9176</v>
      </c>
      <c r="G23" s="9">
        <f t="shared" ref="G23:P23" si="8">IF(G22=0," ",G22-F22)</f>
        <v>526654</v>
      </c>
      <c r="H23" s="9">
        <f t="shared" si="8"/>
        <v>-21838</v>
      </c>
      <c r="I23" s="9">
        <f t="shared" si="8"/>
        <v>-15752</v>
      </c>
      <c r="J23" s="9">
        <f t="shared" si="8"/>
        <v>-12720</v>
      </c>
      <c r="K23" s="9">
        <f t="shared" si="8"/>
        <v>-14644</v>
      </c>
      <c r="L23" s="9">
        <f t="shared" si="8"/>
        <v>-19881</v>
      </c>
      <c r="M23" s="9" t="str">
        <f t="shared" si="8"/>
        <v xml:space="preserve"> </v>
      </c>
      <c r="N23" s="9" t="str">
        <f t="shared" si="8"/>
        <v xml:space="preserve"> </v>
      </c>
      <c r="O23" s="9" t="str">
        <f t="shared" si="8"/>
        <v xml:space="preserve"> </v>
      </c>
      <c r="P23" s="9" t="str">
        <f t="shared" si="8"/>
        <v xml:space="preserve"> </v>
      </c>
    </row>
    <row r="24" spans="2:16" x14ac:dyDescent="0.25">
      <c r="B24" s="69"/>
      <c r="C24" s="72" t="s">
        <v>33</v>
      </c>
      <c r="D24" s="73"/>
      <c r="E24" s="32">
        <f t="shared" ref="E24:P24" si="9">E22/$D$22</f>
        <v>0.31882556585953387</v>
      </c>
      <c r="F24" s="32">
        <f t="shared" si="9"/>
        <v>0.3067468753496515</v>
      </c>
      <c r="G24" s="32">
        <f t="shared" si="9"/>
        <v>1</v>
      </c>
      <c r="H24" s="32">
        <f t="shared" si="9"/>
        <v>0.97125387496133264</v>
      </c>
      <c r="I24" s="32">
        <f t="shared" si="9"/>
        <v>0.95051896509737588</v>
      </c>
      <c r="J24" s="32">
        <f t="shared" si="9"/>
        <v>0.93377518313511521</v>
      </c>
      <c r="K24" s="32">
        <f t="shared" si="9"/>
        <v>0.91449877251755662</v>
      </c>
      <c r="L24" s="32">
        <f t="shared" si="9"/>
        <v>0.88832871519116474</v>
      </c>
      <c r="M24" s="32">
        <f t="shared" si="9"/>
        <v>0</v>
      </c>
      <c r="N24" s="32">
        <f t="shared" si="9"/>
        <v>0</v>
      </c>
      <c r="O24" s="32">
        <f t="shared" si="9"/>
        <v>0</v>
      </c>
      <c r="P24" s="32">
        <f t="shared" si="9"/>
        <v>0</v>
      </c>
    </row>
    <row r="25" spans="2:16" x14ac:dyDescent="0.25">
      <c r="B25" s="64" t="s">
        <v>38</v>
      </c>
      <c r="C25" s="11" t="s">
        <v>30</v>
      </c>
      <c r="D25" s="11">
        <v>25</v>
      </c>
      <c r="E25" s="35">
        <v>25</v>
      </c>
      <c r="F25" s="36">
        <v>23.35</v>
      </c>
      <c r="G25" s="36">
        <v>25</v>
      </c>
      <c r="H25" s="36">
        <v>23.25</v>
      </c>
      <c r="I25" s="36">
        <v>22.1</v>
      </c>
      <c r="J25" s="36">
        <v>20.8</v>
      </c>
      <c r="K25" s="36">
        <v>20.100000000000001</v>
      </c>
      <c r="L25" s="36">
        <v>19.05</v>
      </c>
      <c r="M25" s="36"/>
      <c r="N25" s="36"/>
      <c r="O25" s="36"/>
      <c r="P25" s="36"/>
    </row>
    <row r="26" spans="2:16" x14ac:dyDescent="0.25">
      <c r="B26" s="65"/>
      <c r="C26" s="3" t="s">
        <v>31</v>
      </c>
      <c r="D26" s="6">
        <v>396884</v>
      </c>
      <c r="E26" s="29">
        <v>396884</v>
      </c>
      <c r="F26" s="6">
        <v>323081</v>
      </c>
      <c r="G26" s="6">
        <v>396884</v>
      </c>
      <c r="H26" s="6">
        <v>318896</v>
      </c>
      <c r="I26" s="6">
        <v>273089</v>
      </c>
      <c r="J26" s="6">
        <v>226048</v>
      </c>
      <c r="K26" s="6">
        <v>202757</v>
      </c>
      <c r="L26" s="6">
        <v>170736</v>
      </c>
      <c r="M26" s="6"/>
      <c r="N26" s="6"/>
      <c r="O26" s="6"/>
      <c r="P26" s="6"/>
    </row>
    <row r="27" spans="2:16" x14ac:dyDescent="0.25">
      <c r="B27" s="65"/>
      <c r="C27" s="55" t="s">
        <v>32</v>
      </c>
      <c r="D27" s="56"/>
      <c r="E27" s="29">
        <f>E26-'2025'!P26</f>
        <v>238718</v>
      </c>
      <c r="F27" s="29">
        <f>IF(F26=0," ",F26-E26)</f>
        <v>-73803</v>
      </c>
      <c r="G27" s="29">
        <f t="shared" ref="G27:P27" si="10">IF(G26=0," ",G26-F26)</f>
        <v>73803</v>
      </c>
      <c r="H27" s="29">
        <f t="shared" si="10"/>
        <v>-77988</v>
      </c>
      <c r="I27" s="29">
        <f t="shared" si="10"/>
        <v>-45807</v>
      </c>
      <c r="J27" s="29">
        <f t="shared" si="10"/>
        <v>-47041</v>
      </c>
      <c r="K27" s="29">
        <f t="shared" si="10"/>
        <v>-23291</v>
      </c>
      <c r="L27" s="29">
        <f t="shared" si="10"/>
        <v>-32021</v>
      </c>
      <c r="M27" s="29" t="str">
        <f t="shared" si="10"/>
        <v xml:space="preserve"> </v>
      </c>
      <c r="N27" s="29" t="str">
        <f t="shared" si="10"/>
        <v xml:space="preserve"> </v>
      </c>
      <c r="O27" s="29" t="str">
        <f t="shared" si="10"/>
        <v xml:space="preserve"> </v>
      </c>
      <c r="P27" s="29" t="str">
        <f t="shared" si="10"/>
        <v xml:space="preserve"> </v>
      </c>
    </row>
    <row r="28" spans="2:16" x14ac:dyDescent="0.25">
      <c r="B28" s="66"/>
      <c r="C28" s="57" t="s">
        <v>33</v>
      </c>
      <c r="D28" s="58"/>
      <c r="E28" s="27">
        <f>E26/$D$26</f>
        <v>1</v>
      </c>
      <c r="F28" s="27">
        <f t="shared" ref="F28:P28" si="11">F26/$D$26</f>
        <v>0.81404390199655319</v>
      </c>
      <c r="G28" s="27">
        <f t="shared" si="11"/>
        <v>1</v>
      </c>
      <c r="H28" s="27">
        <f t="shared" si="11"/>
        <v>0.80349925922939702</v>
      </c>
      <c r="I28" s="27">
        <f t="shared" si="11"/>
        <v>0.68808266395218753</v>
      </c>
      <c r="J28" s="27">
        <f t="shared" si="11"/>
        <v>0.56955684784471028</v>
      </c>
      <c r="K28" s="27">
        <f t="shared" si="11"/>
        <v>0.51087219439433185</v>
      </c>
      <c r="L28" s="27">
        <f t="shared" si="11"/>
        <v>0.43019118936515455</v>
      </c>
      <c r="M28" s="27">
        <f t="shared" si="11"/>
        <v>0</v>
      </c>
      <c r="N28" s="27">
        <f t="shared" si="11"/>
        <v>0</v>
      </c>
      <c r="O28" s="27">
        <f t="shared" si="11"/>
        <v>0</v>
      </c>
      <c r="P28" s="27">
        <f t="shared" si="11"/>
        <v>0</v>
      </c>
    </row>
    <row r="29" spans="2:16" x14ac:dyDescent="0.25">
      <c r="B29" s="67" t="s">
        <v>39</v>
      </c>
      <c r="C29" s="2" t="s">
        <v>30</v>
      </c>
      <c r="D29" s="2">
        <v>32</v>
      </c>
      <c r="E29" s="30">
        <v>10.65</v>
      </c>
      <c r="F29" s="31">
        <v>10.48</v>
      </c>
      <c r="G29" s="31">
        <v>32</v>
      </c>
      <c r="H29" s="31">
        <v>32</v>
      </c>
      <c r="I29" s="31">
        <v>30</v>
      </c>
      <c r="J29" s="31">
        <v>29.27</v>
      </c>
      <c r="K29" s="31">
        <v>28.6</v>
      </c>
      <c r="L29" s="31">
        <v>27.3</v>
      </c>
      <c r="M29" s="31"/>
      <c r="N29" s="31"/>
      <c r="O29" s="31"/>
      <c r="P29" s="31"/>
    </row>
    <row r="30" spans="2:16" x14ac:dyDescent="0.25">
      <c r="B30" s="68"/>
      <c r="C30" s="10" t="s">
        <v>31</v>
      </c>
      <c r="D30" s="15">
        <v>327894</v>
      </c>
      <c r="E30" s="25">
        <v>13241</v>
      </c>
      <c r="F30" s="15">
        <v>12888</v>
      </c>
      <c r="G30" s="15">
        <v>327894</v>
      </c>
      <c r="H30" s="15">
        <v>327894</v>
      </c>
      <c r="I30" s="15">
        <v>275031</v>
      </c>
      <c r="J30" s="15">
        <v>256922</v>
      </c>
      <c r="K30" s="15">
        <v>240864</v>
      </c>
      <c r="L30" s="15">
        <v>211332</v>
      </c>
      <c r="M30" s="15"/>
      <c r="N30" s="15"/>
      <c r="O30" s="15"/>
      <c r="P30" s="15"/>
    </row>
    <row r="31" spans="2:16" x14ac:dyDescent="0.25">
      <c r="B31" s="68"/>
      <c r="C31" s="70" t="s">
        <v>32</v>
      </c>
      <c r="D31" s="71"/>
      <c r="E31" s="9">
        <f>E30-'2025'!P30</f>
        <v>5185</v>
      </c>
      <c r="F31" s="9">
        <f>IF(F30=0," ",F30-E30)</f>
        <v>-353</v>
      </c>
      <c r="G31" s="9">
        <f>IF(G30=0," ",G30-F30)</f>
        <v>315006</v>
      </c>
      <c r="H31" s="9">
        <f t="shared" ref="H31:P31" si="12">IF(H30=0," ",H30-G30)</f>
        <v>0</v>
      </c>
      <c r="I31" s="9">
        <f t="shared" si="12"/>
        <v>-52863</v>
      </c>
      <c r="J31" s="9">
        <f t="shared" si="12"/>
        <v>-18109</v>
      </c>
      <c r="K31" s="9">
        <f t="shared" si="12"/>
        <v>-16058</v>
      </c>
      <c r="L31" s="9">
        <f t="shared" si="12"/>
        <v>-29532</v>
      </c>
      <c r="M31" s="9" t="str">
        <f t="shared" si="12"/>
        <v xml:space="preserve"> </v>
      </c>
      <c r="N31" s="9" t="str">
        <f t="shared" si="12"/>
        <v xml:space="preserve"> </v>
      </c>
      <c r="O31" s="9" t="str">
        <f t="shared" si="12"/>
        <v xml:space="preserve"> </v>
      </c>
      <c r="P31" s="9" t="str">
        <f t="shared" si="12"/>
        <v xml:space="preserve"> </v>
      </c>
    </row>
    <row r="32" spans="2:16" x14ac:dyDescent="0.25">
      <c r="B32" s="69"/>
      <c r="C32" s="72" t="s">
        <v>33</v>
      </c>
      <c r="D32" s="73"/>
      <c r="E32" s="32">
        <f>E30/$D$30</f>
        <v>4.0381952704227585E-2</v>
      </c>
      <c r="F32" s="32">
        <f t="shared" ref="F32:P32" si="13">F30/$D$30</f>
        <v>3.930538527694926E-2</v>
      </c>
      <c r="G32" s="32">
        <f t="shared" si="13"/>
        <v>1</v>
      </c>
      <c r="H32" s="32">
        <f t="shared" si="13"/>
        <v>1</v>
      </c>
      <c r="I32" s="32">
        <f t="shared" si="13"/>
        <v>0.83878021555746674</v>
      </c>
      <c r="J32" s="32">
        <f t="shared" si="13"/>
        <v>0.78355200156148019</v>
      </c>
      <c r="K32" s="32">
        <f t="shared" si="13"/>
        <v>0.73457885780160659</v>
      </c>
      <c r="L32" s="32">
        <f t="shared" si="13"/>
        <v>0.64451316584018004</v>
      </c>
      <c r="M32" s="32">
        <f t="shared" si="13"/>
        <v>0</v>
      </c>
      <c r="N32" s="32">
        <f t="shared" si="13"/>
        <v>0</v>
      </c>
      <c r="O32" s="32">
        <f t="shared" si="13"/>
        <v>0</v>
      </c>
      <c r="P32" s="32">
        <f t="shared" si="13"/>
        <v>0</v>
      </c>
    </row>
    <row r="33" spans="2:16" x14ac:dyDescent="0.25">
      <c r="B33" s="52" t="s">
        <v>40</v>
      </c>
      <c r="C33" s="11" t="s">
        <v>30</v>
      </c>
      <c r="D33" s="11">
        <v>35</v>
      </c>
      <c r="E33" s="35">
        <v>35</v>
      </c>
      <c r="F33" s="36">
        <v>33.85</v>
      </c>
      <c r="G33" s="36">
        <v>35</v>
      </c>
      <c r="H33" s="36">
        <v>34.75</v>
      </c>
      <c r="I33" s="36">
        <v>34.200000000000003</v>
      </c>
      <c r="J33" s="36">
        <v>33.51</v>
      </c>
      <c r="K33" s="36">
        <v>33.200000000000003</v>
      </c>
      <c r="L33" s="36">
        <v>32.58</v>
      </c>
      <c r="M33" s="36"/>
      <c r="N33" s="36"/>
      <c r="O33" s="36"/>
      <c r="P33" s="36"/>
    </row>
    <row r="34" spans="2:16" x14ac:dyDescent="0.25">
      <c r="B34" s="53"/>
      <c r="C34" s="3" t="s">
        <v>31</v>
      </c>
      <c r="D34" s="6">
        <v>267041</v>
      </c>
      <c r="E34" s="24">
        <v>267041</v>
      </c>
      <c r="F34" s="6">
        <v>242555</v>
      </c>
      <c r="G34" s="6">
        <v>267041</v>
      </c>
      <c r="H34" s="6">
        <v>261579</v>
      </c>
      <c r="I34" s="6">
        <v>249838</v>
      </c>
      <c r="J34" s="6">
        <v>235599</v>
      </c>
      <c r="K34" s="6">
        <v>229352</v>
      </c>
      <c r="L34" s="48">
        <v>217144</v>
      </c>
      <c r="M34" s="6"/>
      <c r="N34" s="6"/>
      <c r="O34" s="6"/>
      <c r="P34" s="6"/>
    </row>
    <row r="35" spans="2:16" x14ac:dyDescent="0.25">
      <c r="B35" s="53"/>
      <c r="C35" s="55" t="s">
        <v>32</v>
      </c>
      <c r="D35" s="56"/>
      <c r="E35" s="29">
        <f>E34-'2025'!P34</f>
        <v>90981</v>
      </c>
      <c r="F35" s="29">
        <f>IF(F34=0," ",F34-E34)</f>
        <v>-24486</v>
      </c>
      <c r="G35" s="47">
        <f>IF(G34=0,"0",G34-F34)</f>
        <v>24486</v>
      </c>
      <c r="H35" s="47">
        <f>IF(H34=0," ",H34-G34)</f>
        <v>-5462</v>
      </c>
      <c r="I35" s="47">
        <f t="shared" ref="I35:O35" si="14">IF(I34=0," ",I34-H34)</f>
        <v>-11741</v>
      </c>
      <c r="J35" s="47">
        <f t="shared" si="14"/>
        <v>-14239</v>
      </c>
      <c r="K35" s="47">
        <f t="shared" si="14"/>
        <v>-6247</v>
      </c>
      <c r="L35" s="47">
        <f t="shared" si="14"/>
        <v>-12208</v>
      </c>
      <c r="M35" s="47" t="str">
        <f t="shared" si="14"/>
        <v xml:space="preserve"> </v>
      </c>
      <c r="N35" s="47" t="str">
        <f t="shared" si="14"/>
        <v xml:space="preserve"> </v>
      </c>
      <c r="O35" s="47" t="str">
        <f t="shared" si="14"/>
        <v xml:space="preserve"> </v>
      </c>
      <c r="P35" s="47" t="str">
        <f>IF(P34=0," ",P34-O34)</f>
        <v xml:space="preserve"> </v>
      </c>
    </row>
    <row r="36" spans="2:16" x14ac:dyDescent="0.25">
      <c r="B36" s="54"/>
      <c r="C36" s="57" t="s">
        <v>33</v>
      </c>
      <c r="D36" s="58"/>
      <c r="E36" s="27">
        <f>E34/$D$34</f>
        <v>1</v>
      </c>
      <c r="F36" s="27">
        <f t="shared" ref="F36:P36" si="15">F34/$D$34</f>
        <v>0.90830621515048249</v>
      </c>
      <c r="G36" s="27">
        <f t="shared" si="15"/>
        <v>1</v>
      </c>
      <c r="H36" s="27">
        <f t="shared" si="15"/>
        <v>0.97954621200489811</v>
      </c>
      <c r="I36" s="27">
        <f t="shared" si="15"/>
        <v>0.93557918072505719</v>
      </c>
      <c r="J36" s="27">
        <f t="shared" si="15"/>
        <v>0.88225778064042604</v>
      </c>
      <c r="K36" s="27">
        <f t="shared" si="15"/>
        <v>0.85886436914181719</v>
      </c>
      <c r="L36" s="27">
        <f t="shared" si="15"/>
        <v>0.8131485427331383</v>
      </c>
      <c r="M36" s="27">
        <f t="shared" si="15"/>
        <v>0</v>
      </c>
      <c r="N36" s="27">
        <f t="shared" si="15"/>
        <v>0</v>
      </c>
      <c r="O36" s="27">
        <f t="shared" si="15"/>
        <v>0</v>
      </c>
      <c r="P36" s="27">
        <f t="shared" si="15"/>
        <v>0</v>
      </c>
    </row>
    <row r="37" spans="2:16" x14ac:dyDescent="0.25">
      <c r="B37" s="7" t="s">
        <v>41</v>
      </c>
      <c r="C37" s="2"/>
      <c r="D37" s="9">
        <f>D10+D14+D18+D22+D26+D30+D34</f>
        <v>10590032</v>
      </c>
      <c r="E37" s="26">
        <f>E10+E14+E18+E22+E26+E30+E34</f>
        <v>1976363</v>
      </c>
      <c r="F37" s="26">
        <f t="shared" ref="F37:P37" si="16">F10+F14+F18+F22+F26+F30+F34</f>
        <v>1858211</v>
      </c>
      <c r="G37" s="26">
        <f t="shared" si="16"/>
        <v>7920821</v>
      </c>
      <c r="H37" s="26">
        <f t="shared" si="16"/>
        <v>7615555</v>
      </c>
      <c r="I37" s="26">
        <f t="shared" si="16"/>
        <v>7305462</v>
      </c>
      <c r="J37" s="26">
        <f t="shared" si="16"/>
        <v>7009664</v>
      </c>
      <c r="K37" s="26">
        <f t="shared" si="16"/>
        <v>6690544</v>
      </c>
      <c r="L37" s="26">
        <f t="shared" si="16"/>
        <v>6271736</v>
      </c>
      <c r="M37" s="26">
        <f t="shared" si="16"/>
        <v>0</v>
      </c>
      <c r="N37" s="26">
        <f t="shared" si="16"/>
        <v>0</v>
      </c>
      <c r="O37" s="26">
        <f t="shared" si="16"/>
        <v>0</v>
      </c>
      <c r="P37" s="26">
        <f t="shared" si="16"/>
        <v>0</v>
      </c>
    </row>
    <row r="38" spans="2:16" x14ac:dyDescent="0.25">
      <c r="B38" s="12" t="s">
        <v>42</v>
      </c>
      <c r="C38" s="10"/>
      <c r="D38" s="10"/>
      <c r="E38" s="25">
        <f>E37-'2025'!P37</f>
        <v>708139</v>
      </c>
      <c r="F38" s="15">
        <f>IF(F37=0," ",F37-E37)</f>
        <v>-118152</v>
      </c>
      <c r="G38" s="15">
        <f t="shared" ref="G38:P38" si="17">IF(G37=0," ",G37-F37)</f>
        <v>6062610</v>
      </c>
      <c r="H38" s="15">
        <f t="shared" si="17"/>
        <v>-305266</v>
      </c>
      <c r="I38" s="15">
        <f t="shared" si="17"/>
        <v>-310093</v>
      </c>
      <c r="J38" s="15">
        <f t="shared" si="17"/>
        <v>-295798</v>
      </c>
      <c r="K38" s="15">
        <f t="shared" si="17"/>
        <v>-319120</v>
      </c>
      <c r="L38" s="15">
        <f>IF(L37=0," ",L37-K37)</f>
        <v>-418808</v>
      </c>
      <c r="M38" s="15" t="str">
        <f t="shared" si="17"/>
        <v xml:space="preserve"> </v>
      </c>
      <c r="N38" s="15" t="str">
        <f t="shared" si="17"/>
        <v xml:space="preserve"> </v>
      </c>
      <c r="O38" s="15" t="str">
        <f t="shared" si="17"/>
        <v xml:space="preserve"> </v>
      </c>
      <c r="P38" s="15" t="str">
        <f t="shared" si="17"/>
        <v xml:space="preserve"> </v>
      </c>
    </row>
    <row r="39" spans="2:16" x14ac:dyDescent="0.25">
      <c r="B39" s="7" t="s">
        <v>43</v>
      </c>
      <c r="C39" s="2"/>
      <c r="D39" s="2"/>
      <c r="E39" s="33">
        <f>E37/$D$37</f>
        <v>0.18662483739425906</v>
      </c>
      <c r="F39" s="33">
        <f t="shared" ref="F39:P39" si="18">F37/$D$37</f>
        <v>0.17546793059737686</v>
      </c>
      <c r="G39" s="33">
        <f t="shared" si="18"/>
        <v>0.74795061997924084</v>
      </c>
      <c r="H39" s="33">
        <f t="shared" si="18"/>
        <v>0.71912483361712221</v>
      </c>
      <c r="I39" s="33">
        <f t="shared" si="18"/>
        <v>0.6898432412668819</v>
      </c>
      <c r="J39" s="33">
        <f t="shared" si="18"/>
        <v>0.66191150319470238</v>
      </c>
      <c r="K39" s="33">
        <f t="shared" si="18"/>
        <v>0.63177750548817979</v>
      </c>
      <c r="L39" s="33">
        <f t="shared" si="18"/>
        <v>0.59223012734994573</v>
      </c>
      <c r="M39" s="33">
        <f t="shared" si="18"/>
        <v>0</v>
      </c>
      <c r="N39" s="33">
        <f t="shared" si="18"/>
        <v>0</v>
      </c>
      <c r="O39" s="33">
        <f t="shared" si="18"/>
        <v>0</v>
      </c>
      <c r="P39" s="33">
        <f t="shared" si="18"/>
        <v>0</v>
      </c>
    </row>
    <row r="41" spans="2:16" ht="41.25" customHeight="1" thickBot="1" x14ac:dyDescent="0.3">
      <c r="B41" s="59" t="s">
        <v>56</v>
      </c>
      <c r="C41" s="59"/>
      <c r="D41" s="59"/>
      <c r="E41" s="4" t="s">
        <v>3</v>
      </c>
      <c r="F41" s="5" t="s">
        <v>4</v>
      </c>
      <c r="G41" s="5" t="s">
        <v>5</v>
      </c>
      <c r="H41" s="5" t="s">
        <v>6</v>
      </c>
      <c r="I41" s="5" t="s">
        <v>7</v>
      </c>
      <c r="J41" s="5" t="s">
        <v>8</v>
      </c>
      <c r="K41" s="5" t="s">
        <v>9</v>
      </c>
      <c r="L41" s="5" t="s">
        <v>10</v>
      </c>
      <c r="M41" s="5" t="s">
        <v>11</v>
      </c>
      <c r="N41" s="5" t="s">
        <v>12</v>
      </c>
      <c r="O41" s="5" t="s">
        <v>13</v>
      </c>
      <c r="P41" s="5" t="s">
        <v>14</v>
      </c>
    </row>
    <row r="42" spans="2:16" ht="15.75" thickTop="1" x14ac:dyDescent="0.25">
      <c r="B42" s="60" t="s">
        <v>46</v>
      </c>
      <c r="C42" s="16" t="s">
        <v>30</v>
      </c>
      <c r="D42" s="16">
        <v>120</v>
      </c>
      <c r="E42" s="51" t="s">
        <v>47</v>
      </c>
      <c r="F42" s="18"/>
      <c r="G42" s="18"/>
      <c r="H42" s="18"/>
      <c r="I42" s="18"/>
      <c r="J42" s="18"/>
      <c r="K42" s="18"/>
      <c r="L42" s="18"/>
      <c r="M42" s="18"/>
      <c r="N42" s="18"/>
      <c r="O42" s="18"/>
      <c r="P42" s="18"/>
    </row>
    <row r="43" spans="2:16" x14ac:dyDescent="0.25">
      <c r="B43" s="61"/>
      <c r="C43" s="1" t="s">
        <v>31</v>
      </c>
      <c r="D43" s="6">
        <v>13014589</v>
      </c>
      <c r="E43" s="19" t="s">
        <v>47</v>
      </c>
      <c r="F43" s="20" t="s">
        <v>47</v>
      </c>
      <c r="G43" s="20" t="s">
        <v>47</v>
      </c>
      <c r="H43" s="20" t="s">
        <v>47</v>
      </c>
      <c r="I43" s="20" t="s">
        <v>47</v>
      </c>
      <c r="J43" s="20" t="s">
        <v>47</v>
      </c>
      <c r="K43" s="20" t="s">
        <v>47</v>
      </c>
      <c r="L43" s="20" t="s">
        <v>47</v>
      </c>
      <c r="M43" s="20" t="s">
        <v>47</v>
      </c>
      <c r="N43" s="20" t="s">
        <v>47</v>
      </c>
      <c r="O43" s="20" t="s">
        <v>47</v>
      </c>
      <c r="P43" s="20" t="s">
        <v>47</v>
      </c>
    </row>
    <row r="44" spans="2:16" x14ac:dyDescent="0.25">
      <c r="B44" s="61"/>
      <c r="C44" s="55" t="s">
        <v>32</v>
      </c>
      <c r="D44" s="56"/>
      <c r="E44" s="21" t="s">
        <v>47</v>
      </c>
      <c r="F44" s="21" t="s">
        <v>47</v>
      </c>
      <c r="G44" s="21" t="s">
        <v>47</v>
      </c>
      <c r="H44" s="21" t="s">
        <v>47</v>
      </c>
      <c r="I44" s="21" t="s">
        <v>47</v>
      </c>
      <c r="J44" s="21" t="s">
        <v>47</v>
      </c>
      <c r="K44" s="21" t="s">
        <v>47</v>
      </c>
      <c r="L44" s="21" t="s">
        <v>47</v>
      </c>
      <c r="M44" s="21" t="s">
        <v>47</v>
      </c>
      <c r="N44" s="21" t="s">
        <v>47</v>
      </c>
      <c r="O44" s="21" t="s">
        <v>47</v>
      </c>
      <c r="P44" s="21" t="s">
        <v>47</v>
      </c>
    </row>
    <row r="45" spans="2:16" x14ac:dyDescent="0.25">
      <c r="B45" s="61"/>
      <c r="C45" s="62" t="s">
        <v>33</v>
      </c>
      <c r="D45" s="63"/>
      <c r="E45" s="21" t="s">
        <v>48</v>
      </c>
      <c r="F45" s="21" t="s">
        <v>48</v>
      </c>
      <c r="G45" s="21" t="s">
        <v>48</v>
      </c>
      <c r="H45" s="21" t="s">
        <v>48</v>
      </c>
      <c r="I45" s="21" t="s">
        <v>48</v>
      </c>
      <c r="J45" s="21" t="s">
        <v>48</v>
      </c>
      <c r="K45" s="21" t="s">
        <v>48</v>
      </c>
      <c r="L45" s="21" t="s">
        <v>48</v>
      </c>
      <c r="M45" s="21" t="s">
        <v>48</v>
      </c>
      <c r="N45" s="21" t="s">
        <v>48</v>
      </c>
      <c r="O45" s="21" t="s">
        <v>48</v>
      </c>
      <c r="P45" s="21" t="s">
        <v>48</v>
      </c>
    </row>
    <row r="47" spans="2:16" hidden="1" x14ac:dyDescent="0.25">
      <c r="B47" t="s">
        <v>15</v>
      </c>
      <c r="C47" t="s">
        <v>16</v>
      </c>
      <c r="D47" t="s">
        <v>17</v>
      </c>
      <c r="E47" t="s">
        <v>18</v>
      </c>
      <c r="F47" t="s">
        <v>19</v>
      </c>
      <c r="G47" t="s">
        <v>20</v>
      </c>
      <c r="H47" t="s">
        <v>21</v>
      </c>
      <c r="I47" t="s">
        <v>22</v>
      </c>
      <c r="J47" t="s">
        <v>23</v>
      </c>
      <c r="K47" t="s">
        <v>24</v>
      </c>
      <c r="L47" t="s">
        <v>25</v>
      </c>
      <c r="M47" t="s">
        <v>26</v>
      </c>
      <c r="N47" t="s">
        <v>27</v>
      </c>
      <c r="O47" t="s">
        <v>28</v>
      </c>
      <c r="P47" t="s">
        <v>44</v>
      </c>
    </row>
    <row r="48" spans="2:16" x14ac:dyDescent="0.25">
      <c r="B48" s="22" t="s">
        <v>50</v>
      </c>
      <c r="C48" s="22"/>
      <c r="D48" s="23">
        <f>D37+D43</f>
        <v>23604621</v>
      </c>
      <c r="E48" s="43">
        <f>E37+E43</f>
        <v>1976363</v>
      </c>
      <c r="F48" s="23">
        <f t="shared" ref="F48:P48" si="19">F37+F43</f>
        <v>1858211</v>
      </c>
      <c r="G48" s="23">
        <f t="shared" si="19"/>
        <v>7920821</v>
      </c>
      <c r="H48" s="23">
        <f t="shared" si="19"/>
        <v>7615555</v>
      </c>
      <c r="I48" s="23">
        <f t="shared" si="19"/>
        <v>7305462</v>
      </c>
      <c r="J48" s="23">
        <f t="shared" si="19"/>
        <v>7009664</v>
      </c>
      <c r="K48" s="23">
        <f t="shared" si="19"/>
        <v>6690544</v>
      </c>
      <c r="L48" s="23">
        <f t="shared" si="19"/>
        <v>6271736</v>
      </c>
      <c r="M48" s="23">
        <f t="shared" si="19"/>
        <v>0</v>
      </c>
      <c r="N48" s="23">
        <f t="shared" si="19"/>
        <v>0</v>
      </c>
      <c r="O48" s="23">
        <f t="shared" si="19"/>
        <v>0</v>
      </c>
      <c r="P48" s="23">
        <f t="shared" si="19"/>
        <v>0</v>
      </c>
    </row>
    <row r="49" spans="2:16" x14ac:dyDescent="0.25">
      <c r="B49" s="22" t="s">
        <v>49</v>
      </c>
      <c r="C49" s="22"/>
      <c r="D49" s="22"/>
      <c r="E49" s="23">
        <f>IFERROR(E38+E44," ")</f>
        <v>708139</v>
      </c>
      <c r="F49" s="23">
        <f t="shared" ref="F49:P49" si="20">IFERROR(F38+F44," ")</f>
        <v>-118152</v>
      </c>
      <c r="G49" s="23">
        <f t="shared" si="20"/>
        <v>6062610</v>
      </c>
      <c r="H49" s="23">
        <f t="shared" si="20"/>
        <v>-305266</v>
      </c>
      <c r="I49" s="23">
        <f t="shared" si="20"/>
        <v>-310093</v>
      </c>
      <c r="J49" s="23">
        <f t="shared" si="20"/>
        <v>-295798</v>
      </c>
      <c r="K49" s="23">
        <f t="shared" si="20"/>
        <v>-319120</v>
      </c>
      <c r="L49" s="23">
        <f t="shared" si="20"/>
        <v>-418808</v>
      </c>
      <c r="M49" s="23" t="str">
        <f t="shared" si="20"/>
        <v xml:space="preserve"> </v>
      </c>
      <c r="N49" s="23" t="str">
        <f t="shared" si="20"/>
        <v xml:space="preserve"> </v>
      </c>
      <c r="O49" s="23" t="str">
        <f t="shared" si="20"/>
        <v xml:space="preserve"> </v>
      </c>
      <c r="P49" s="23" t="str">
        <f t="shared" si="20"/>
        <v xml:space="preserve"> </v>
      </c>
    </row>
    <row r="50" spans="2:16" x14ac:dyDescent="0.25">
      <c r="B50" s="22" t="s">
        <v>43</v>
      </c>
      <c r="C50" s="22"/>
      <c r="D50" s="22"/>
      <c r="E50" s="34">
        <f>E48/$D$48</f>
        <v>8.3727800586164886E-2</v>
      </c>
      <c r="F50" s="34">
        <f t="shared" ref="F50:P50" si="21">F48/$D$48</f>
        <v>7.87223400028325E-2</v>
      </c>
      <c r="G50" s="34">
        <f t="shared" si="21"/>
        <v>0.33556230366926881</v>
      </c>
      <c r="H50" s="34">
        <f t="shared" si="21"/>
        <v>0.32262983591221395</v>
      </c>
      <c r="I50" s="34">
        <f t="shared" si="21"/>
        <v>0.3094928742977911</v>
      </c>
      <c r="J50" s="34">
        <f t="shared" si="21"/>
        <v>0.29696151444244751</v>
      </c>
      <c r="K50" s="34">
        <f t="shared" si="21"/>
        <v>0.2834421277088075</v>
      </c>
      <c r="L50" s="34">
        <f t="shared" si="21"/>
        <v>0.26569950011059273</v>
      </c>
      <c r="M50" s="34">
        <f t="shared" si="21"/>
        <v>0</v>
      </c>
      <c r="N50" s="34">
        <f t="shared" si="21"/>
        <v>0</v>
      </c>
      <c r="O50" s="34">
        <f t="shared" si="21"/>
        <v>0</v>
      </c>
      <c r="P50" s="34">
        <f t="shared" si="21"/>
        <v>0</v>
      </c>
    </row>
    <row r="52" spans="2:16" x14ac:dyDescent="0.25">
      <c r="B52" s="41" t="s">
        <v>53</v>
      </c>
    </row>
    <row r="53" spans="2:16" x14ac:dyDescent="0.25">
      <c r="B53" s="42" t="s">
        <v>51</v>
      </c>
    </row>
    <row r="54" spans="2:16" x14ac:dyDescent="0.25">
      <c r="B54" s="42" t="s">
        <v>52</v>
      </c>
    </row>
    <row r="55" spans="2:16" x14ac:dyDescent="0.25">
      <c r="B55" s="42" t="s">
        <v>55</v>
      </c>
    </row>
  </sheetData>
  <mergeCells count="31">
    <mergeCell ref="D2:P2"/>
    <mergeCell ref="D4:P4"/>
    <mergeCell ref="B7:B8"/>
    <mergeCell ref="C7:C8"/>
    <mergeCell ref="D7:D8"/>
    <mergeCell ref="E7:P7"/>
    <mergeCell ref="B9:B12"/>
    <mergeCell ref="C11:D11"/>
    <mergeCell ref="C12:D12"/>
    <mergeCell ref="B13:B16"/>
    <mergeCell ref="C15:D15"/>
    <mergeCell ref="C16:D16"/>
    <mergeCell ref="B17:B20"/>
    <mergeCell ref="C19:D19"/>
    <mergeCell ref="C20:D20"/>
    <mergeCell ref="B21:B24"/>
    <mergeCell ref="C23:D23"/>
    <mergeCell ref="C24:D24"/>
    <mergeCell ref="B25:B28"/>
    <mergeCell ref="C27:D27"/>
    <mergeCell ref="C28:D28"/>
    <mergeCell ref="B29:B32"/>
    <mergeCell ref="C31:D31"/>
    <mergeCell ref="C32:D32"/>
    <mergeCell ref="B33:B36"/>
    <mergeCell ref="C35:D35"/>
    <mergeCell ref="C36:D36"/>
    <mergeCell ref="B41:D41"/>
    <mergeCell ref="B42:B45"/>
    <mergeCell ref="C44:D44"/>
    <mergeCell ref="C45:D45"/>
  </mergeCells>
  <pageMargins left="0.39370078740157483" right="0.39370078740157483" top="0.39370078740157483" bottom="0.39370078740157483" header="0.31496062992125984" footer="0.31496062992125984"/>
  <pageSetup paperSize="9" scale="65" orientation="landscape" horizontalDpi="1200" verticalDpi="1200" r:id="rId1"/>
  <ignoredErrors>
    <ignoredError sqref="H11" formula="1"/>
  </ignoredErrors>
  <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P55"/>
  <sheetViews>
    <sheetView workbookViewId="0"/>
  </sheetViews>
  <sheetFormatPr baseColWidth="10" defaultRowHeight="15" x14ac:dyDescent="0.25"/>
  <cols>
    <col min="2" max="2" width="16.140625" customWidth="1"/>
    <col min="3" max="3" width="16.42578125" customWidth="1"/>
    <col min="4" max="4" width="18.28515625" customWidth="1"/>
    <col min="5" max="10" width="12" customWidth="1"/>
    <col min="11" max="12" width="13" customWidth="1"/>
    <col min="13" max="13" width="14" customWidth="1"/>
    <col min="14" max="14" width="13" customWidth="1"/>
    <col min="15" max="15" width="14" customWidth="1"/>
    <col min="16" max="16" width="13" customWidth="1"/>
  </cols>
  <sheetData>
    <row r="2" spans="2:16" ht="21" x14ac:dyDescent="0.35">
      <c r="D2" s="75" t="s">
        <v>57</v>
      </c>
      <c r="E2" s="75"/>
      <c r="F2" s="75"/>
      <c r="G2" s="75"/>
      <c r="H2" s="75"/>
      <c r="I2" s="75"/>
      <c r="J2" s="75"/>
      <c r="K2" s="75"/>
      <c r="L2" s="75"/>
      <c r="M2" s="75"/>
      <c r="N2" s="75"/>
      <c r="O2" s="75"/>
      <c r="P2" s="75"/>
    </row>
    <row r="4" spans="2:16" ht="22.5" customHeight="1" x14ac:dyDescent="0.35">
      <c r="D4" s="76" t="s">
        <v>58</v>
      </c>
      <c r="E4" s="76"/>
      <c r="F4" s="76"/>
      <c r="G4" s="76"/>
      <c r="H4" s="76"/>
      <c r="I4" s="76"/>
      <c r="J4" s="76"/>
      <c r="K4" s="76"/>
      <c r="L4" s="76"/>
      <c r="M4" s="76"/>
      <c r="N4" s="76"/>
      <c r="O4" s="76"/>
      <c r="P4" s="76"/>
    </row>
    <row r="7" spans="2:16" x14ac:dyDescent="0.25">
      <c r="B7" s="77" t="s">
        <v>0</v>
      </c>
      <c r="C7" s="77" t="s">
        <v>1</v>
      </c>
      <c r="D7" s="77" t="s">
        <v>2</v>
      </c>
      <c r="E7" s="79" t="s">
        <v>34</v>
      </c>
      <c r="F7" s="80"/>
      <c r="G7" s="80"/>
      <c r="H7" s="80"/>
      <c r="I7" s="80"/>
      <c r="J7" s="80"/>
      <c r="K7" s="80"/>
      <c r="L7" s="80"/>
      <c r="M7" s="80"/>
      <c r="N7" s="80"/>
      <c r="O7" s="80"/>
      <c r="P7" s="81"/>
    </row>
    <row r="8" spans="2:16" ht="15.75" thickBot="1" x14ac:dyDescent="0.3">
      <c r="B8" s="78"/>
      <c r="C8" s="78"/>
      <c r="D8" s="78"/>
      <c r="E8" s="4" t="s">
        <v>3</v>
      </c>
      <c r="F8" s="5" t="s">
        <v>4</v>
      </c>
      <c r="G8" s="5" t="s">
        <v>5</v>
      </c>
      <c r="H8" s="5" t="s">
        <v>6</v>
      </c>
      <c r="I8" s="5" t="s">
        <v>7</v>
      </c>
      <c r="J8" s="5" t="s">
        <v>8</v>
      </c>
      <c r="K8" s="5" t="s">
        <v>9</v>
      </c>
      <c r="L8" s="5" t="s">
        <v>10</v>
      </c>
      <c r="M8" s="5" t="s">
        <v>11</v>
      </c>
      <c r="N8" s="5" t="s">
        <v>12</v>
      </c>
      <c r="O8" s="5" t="s">
        <v>13</v>
      </c>
      <c r="P8" s="5" t="s">
        <v>14</v>
      </c>
    </row>
    <row r="9" spans="2:16" ht="15.75" thickTop="1" x14ac:dyDescent="0.25">
      <c r="B9" s="74" t="s">
        <v>29</v>
      </c>
      <c r="C9" s="13" t="s">
        <v>30</v>
      </c>
      <c r="D9" s="13">
        <v>32</v>
      </c>
      <c r="E9" s="14">
        <v>6.05</v>
      </c>
      <c r="F9" s="13">
        <v>6.05</v>
      </c>
      <c r="G9" s="13">
        <v>6.05</v>
      </c>
      <c r="H9" s="13">
        <v>6.3</v>
      </c>
      <c r="I9" s="13">
        <v>6.3</v>
      </c>
      <c r="J9" s="13">
        <v>6.07</v>
      </c>
      <c r="K9" s="13">
        <v>5.8</v>
      </c>
      <c r="L9" s="13">
        <v>5.51</v>
      </c>
      <c r="M9" s="13">
        <v>5.32</v>
      </c>
      <c r="N9" s="13">
        <v>5.2</v>
      </c>
      <c r="O9" s="13">
        <v>6.65</v>
      </c>
      <c r="P9" s="13">
        <v>10.15</v>
      </c>
    </row>
    <row r="10" spans="2:16" x14ac:dyDescent="0.25">
      <c r="B10" s="53"/>
      <c r="C10" s="3" t="s">
        <v>31</v>
      </c>
      <c r="D10" s="6">
        <v>5640766</v>
      </c>
      <c r="E10" s="24">
        <v>79219</v>
      </c>
      <c r="F10" s="6">
        <v>79219</v>
      </c>
      <c r="G10" s="6">
        <v>79219</v>
      </c>
      <c r="H10" s="6">
        <v>87967</v>
      </c>
      <c r="I10" s="6">
        <v>87967</v>
      </c>
      <c r="J10" s="6">
        <v>79898</v>
      </c>
      <c r="K10" s="6">
        <v>71027</v>
      </c>
      <c r="L10" s="6">
        <v>62195</v>
      </c>
      <c r="M10" s="6">
        <v>56784</v>
      </c>
      <c r="N10" s="6">
        <v>53515</v>
      </c>
      <c r="O10" s="6">
        <v>101164</v>
      </c>
      <c r="P10" s="6">
        <v>308337</v>
      </c>
    </row>
    <row r="11" spans="2:16" x14ac:dyDescent="0.25">
      <c r="B11" s="53"/>
      <c r="C11" s="55" t="s">
        <v>32</v>
      </c>
      <c r="D11" s="56"/>
      <c r="E11" s="29">
        <f>E10-'2024'!P11</f>
        <v>-1705</v>
      </c>
      <c r="F11" s="29">
        <f>IF(F10=0," ",F9-E9)</f>
        <v>0</v>
      </c>
      <c r="G11" s="29">
        <f t="shared" ref="G11:I11" si="0">IF(G10=0," ",G9-F9)</f>
        <v>0</v>
      </c>
      <c r="H11" s="29">
        <f t="shared" si="0"/>
        <v>0.25</v>
      </c>
      <c r="I11" s="29">
        <f t="shared" si="0"/>
        <v>0</v>
      </c>
      <c r="J11" s="29">
        <f>J10-I10</f>
        <v>-8069</v>
      </c>
      <c r="K11" s="29">
        <f t="shared" ref="K11:L11" si="1">K10-J10</f>
        <v>-8871</v>
      </c>
      <c r="L11" s="29">
        <f t="shared" si="1"/>
        <v>-8832</v>
      </c>
      <c r="M11" s="29">
        <f t="shared" ref="M11" si="2">M10-L10</f>
        <v>-5411</v>
      </c>
      <c r="N11" s="29">
        <f t="shared" ref="N11" si="3">N10-M10</f>
        <v>-3269</v>
      </c>
      <c r="O11" s="29">
        <f t="shared" ref="O11:P11" si="4">O10-N10</f>
        <v>47649</v>
      </c>
      <c r="P11" s="29">
        <f t="shared" si="4"/>
        <v>207173</v>
      </c>
    </row>
    <row r="12" spans="2:16" x14ac:dyDescent="0.25">
      <c r="B12" s="54"/>
      <c r="C12" s="57" t="s">
        <v>33</v>
      </c>
      <c r="D12" s="58"/>
      <c r="E12" s="27">
        <f>E10/$D$10</f>
        <v>1.4044014589507879E-2</v>
      </c>
      <c r="F12" s="27">
        <f t="shared" ref="F12:P12" si="5">F10/$D$10</f>
        <v>1.4044014589507879E-2</v>
      </c>
      <c r="G12" s="27">
        <f t="shared" si="5"/>
        <v>1.4044014589507879E-2</v>
      </c>
      <c r="H12" s="27">
        <f t="shared" si="5"/>
        <v>1.5594867789232881E-2</v>
      </c>
      <c r="I12" s="27">
        <f t="shared" si="5"/>
        <v>1.5594867789232881E-2</v>
      </c>
      <c r="J12" s="27">
        <f t="shared" si="5"/>
        <v>1.4164388311800205E-2</v>
      </c>
      <c r="K12" s="27">
        <f t="shared" si="5"/>
        <v>1.2591729562970702E-2</v>
      </c>
      <c r="L12" s="27">
        <f t="shared" si="5"/>
        <v>1.1025984768735311E-2</v>
      </c>
      <c r="M12" s="27">
        <f t="shared" si="5"/>
        <v>1.0066717889024293E-2</v>
      </c>
      <c r="N12" s="27">
        <f t="shared" si="5"/>
        <v>9.4871866693282438E-3</v>
      </c>
      <c r="O12" s="27">
        <f t="shared" si="5"/>
        <v>1.7934443655347517E-2</v>
      </c>
      <c r="P12" s="27">
        <f t="shared" si="5"/>
        <v>5.4662256863695462E-2</v>
      </c>
    </row>
    <row r="13" spans="2:16" x14ac:dyDescent="0.25">
      <c r="B13" s="67" t="s">
        <v>35</v>
      </c>
      <c r="C13" s="2" t="s">
        <v>30</v>
      </c>
      <c r="D13" s="2">
        <v>40</v>
      </c>
      <c r="E13" s="30">
        <v>10.25</v>
      </c>
      <c r="F13" s="31">
        <v>9.98</v>
      </c>
      <c r="G13" s="31">
        <v>9.91</v>
      </c>
      <c r="H13" s="31">
        <v>9.8800000000000008</v>
      </c>
      <c r="I13" s="31">
        <v>9.82</v>
      </c>
      <c r="J13" s="31">
        <v>9.7799999999999994</v>
      </c>
      <c r="K13" s="31">
        <v>9.68</v>
      </c>
      <c r="L13" s="31">
        <v>9.32</v>
      </c>
      <c r="M13" s="31">
        <v>9.24</v>
      </c>
      <c r="N13" s="31">
        <v>9.0500000000000007</v>
      </c>
      <c r="O13" s="31">
        <v>9.0500000000000007</v>
      </c>
      <c r="P13" s="31">
        <v>9.25</v>
      </c>
    </row>
    <row r="14" spans="2:16" x14ac:dyDescent="0.25">
      <c r="B14" s="68"/>
      <c r="C14" s="10" t="s">
        <v>31</v>
      </c>
      <c r="D14" s="15">
        <v>1849055</v>
      </c>
      <c r="E14" s="25">
        <v>12371</v>
      </c>
      <c r="F14" s="15">
        <v>10507</v>
      </c>
      <c r="G14" s="15">
        <v>10129</v>
      </c>
      <c r="H14" s="15">
        <v>9944</v>
      </c>
      <c r="I14" s="15">
        <v>9578</v>
      </c>
      <c r="J14" s="15">
        <v>9339</v>
      </c>
      <c r="K14" s="15">
        <v>8756</v>
      </c>
      <c r="L14" s="15">
        <v>6837</v>
      </c>
      <c r="M14" s="15">
        <v>6449</v>
      </c>
      <c r="N14" s="15">
        <v>5541</v>
      </c>
      <c r="O14" s="15">
        <v>5541</v>
      </c>
      <c r="P14" s="15">
        <v>6497</v>
      </c>
    </row>
    <row r="15" spans="2:16" x14ac:dyDescent="0.25">
      <c r="B15" s="68"/>
      <c r="C15" s="70" t="s">
        <v>32</v>
      </c>
      <c r="D15" s="71"/>
      <c r="E15" s="9">
        <f>E14-'2024'!P15</f>
        <v>-7130</v>
      </c>
      <c r="F15" s="9">
        <f>IF(F14=0," ", F14-E14)</f>
        <v>-1864</v>
      </c>
      <c r="G15" s="9">
        <f>IF(G14=0," ",G14-F14)</f>
        <v>-378</v>
      </c>
      <c r="H15" s="9">
        <f t="shared" ref="H15:P15" si="6">IF(H14=0," ", H14-G14)</f>
        <v>-185</v>
      </c>
      <c r="I15" s="9">
        <f t="shared" si="6"/>
        <v>-366</v>
      </c>
      <c r="J15" s="9">
        <f t="shared" si="6"/>
        <v>-239</v>
      </c>
      <c r="K15" s="9">
        <f t="shared" si="6"/>
        <v>-583</v>
      </c>
      <c r="L15" s="9">
        <f t="shared" si="6"/>
        <v>-1919</v>
      </c>
      <c r="M15" s="9">
        <f t="shared" si="6"/>
        <v>-388</v>
      </c>
      <c r="N15" s="9">
        <f t="shared" si="6"/>
        <v>-908</v>
      </c>
      <c r="O15" s="9">
        <f t="shared" si="6"/>
        <v>0</v>
      </c>
      <c r="P15" s="9">
        <f t="shared" si="6"/>
        <v>956</v>
      </c>
    </row>
    <row r="16" spans="2:16" x14ac:dyDescent="0.25">
      <c r="B16" s="69"/>
      <c r="C16" s="72" t="s">
        <v>33</v>
      </c>
      <c r="D16" s="73"/>
      <c r="E16" s="32">
        <f>E14/$D$14</f>
        <v>6.690444578446828E-3</v>
      </c>
      <c r="F16" s="32">
        <f t="shared" ref="F16:P16" si="7">F14/$D$14</f>
        <v>5.6823620714364902E-3</v>
      </c>
      <c r="G16" s="32">
        <f t="shared" si="7"/>
        <v>5.4779333226972699E-3</v>
      </c>
      <c r="H16" s="32">
        <f t="shared" si="7"/>
        <v>5.3778822155100851E-3</v>
      </c>
      <c r="I16" s="32">
        <f t="shared" si="7"/>
        <v>5.1799432683181405E-3</v>
      </c>
      <c r="J16" s="32">
        <f t="shared" si="7"/>
        <v>5.0506880541682101E-3</v>
      </c>
      <c r="K16" s="32">
        <f t="shared" si="7"/>
        <v>4.7353918623296767E-3</v>
      </c>
      <c r="L16" s="32">
        <f t="shared" si="7"/>
        <v>3.6975644315609866E-3</v>
      </c>
      <c r="M16" s="32">
        <f t="shared" si="7"/>
        <v>3.4877275148657017E-3</v>
      </c>
      <c r="N16" s="32">
        <f t="shared" si="7"/>
        <v>2.9966658644550864E-3</v>
      </c>
      <c r="O16" s="32">
        <f t="shared" si="7"/>
        <v>2.9966658644550864E-3</v>
      </c>
      <c r="P16" s="32">
        <f t="shared" si="7"/>
        <v>3.513686721054809E-3</v>
      </c>
    </row>
    <row r="17" spans="2:16" x14ac:dyDescent="0.25">
      <c r="B17" s="52" t="s">
        <v>36</v>
      </c>
      <c r="C17" s="11" t="s">
        <v>30</v>
      </c>
      <c r="D17" s="11">
        <v>42</v>
      </c>
      <c r="E17" s="35">
        <v>27.89</v>
      </c>
      <c r="F17" s="36">
        <v>27.35</v>
      </c>
      <c r="G17" s="36">
        <v>26.85</v>
      </c>
      <c r="H17" s="36">
        <v>26.83</v>
      </c>
      <c r="I17" s="36">
        <v>26.2</v>
      </c>
      <c r="J17" s="36">
        <v>25.75</v>
      </c>
      <c r="K17" s="36">
        <v>25.13</v>
      </c>
      <c r="L17" s="36">
        <v>24.14</v>
      </c>
      <c r="M17" s="36">
        <v>23.33</v>
      </c>
      <c r="N17" s="36">
        <v>22.62</v>
      </c>
      <c r="O17" s="36">
        <v>23.55</v>
      </c>
      <c r="P17" s="36">
        <v>27.45</v>
      </c>
    </row>
    <row r="18" spans="2:16" x14ac:dyDescent="0.25">
      <c r="B18" s="53"/>
      <c r="C18" s="3" t="s">
        <v>31</v>
      </c>
      <c r="D18" s="6">
        <v>1348707</v>
      </c>
      <c r="E18" s="24">
        <v>447579</v>
      </c>
      <c r="F18" s="6">
        <v>423993</v>
      </c>
      <c r="G18" s="6">
        <v>402786</v>
      </c>
      <c r="H18" s="6">
        <v>402368</v>
      </c>
      <c r="I18" s="6">
        <v>376596</v>
      </c>
      <c r="J18" s="6">
        <v>358824</v>
      </c>
      <c r="K18" s="6">
        <v>335140</v>
      </c>
      <c r="L18" s="6">
        <v>298793</v>
      </c>
      <c r="M18" s="6">
        <v>271252</v>
      </c>
      <c r="N18" s="6">
        <v>247632</v>
      </c>
      <c r="O18" s="6">
        <v>278359</v>
      </c>
      <c r="P18" s="6">
        <v>428740</v>
      </c>
    </row>
    <row r="19" spans="2:16" x14ac:dyDescent="0.25">
      <c r="B19" s="53"/>
      <c r="C19" s="55" t="s">
        <v>32</v>
      </c>
      <c r="D19" s="56"/>
      <c r="E19" s="29">
        <f>E18-'2024'!P19</f>
        <v>-14320</v>
      </c>
      <c r="F19" s="29">
        <f>IF(F18=0," ",F18-E18)</f>
        <v>-23586</v>
      </c>
      <c r="G19" s="29">
        <f>IF(G18=0," ",G18-F18)</f>
        <v>-21207</v>
      </c>
      <c r="H19" s="29">
        <f>IF(H18=0," ",H18-G18)</f>
        <v>-418</v>
      </c>
      <c r="I19" s="29">
        <f t="shared" ref="I19:P19" si="8">IF(I18=0," ",I18-H18)</f>
        <v>-25772</v>
      </c>
      <c r="J19" s="29">
        <f t="shared" si="8"/>
        <v>-17772</v>
      </c>
      <c r="K19" s="29">
        <f t="shared" si="8"/>
        <v>-23684</v>
      </c>
      <c r="L19" s="29">
        <f t="shared" si="8"/>
        <v>-36347</v>
      </c>
      <c r="M19" s="29">
        <f t="shared" si="8"/>
        <v>-27541</v>
      </c>
      <c r="N19" s="29">
        <f t="shared" si="8"/>
        <v>-23620</v>
      </c>
      <c r="O19" s="29">
        <f t="shared" si="8"/>
        <v>30727</v>
      </c>
      <c r="P19" s="29">
        <f t="shared" si="8"/>
        <v>150381</v>
      </c>
    </row>
    <row r="20" spans="2:16" x14ac:dyDescent="0.25">
      <c r="B20" s="54"/>
      <c r="C20" s="57" t="s">
        <v>33</v>
      </c>
      <c r="D20" s="58"/>
      <c r="E20" s="27">
        <f>E18/$D$18</f>
        <v>0.33185784607034735</v>
      </c>
      <c r="F20" s="27">
        <f t="shared" ref="F20:P20" si="9">F18/$D$18</f>
        <v>0.31436998547497713</v>
      </c>
      <c r="G20" s="27">
        <f t="shared" si="9"/>
        <v>0.29864603653721677</v>
      </c>
      <c r="H20" s="27">
        <f t="shared" si="9"/>
        <v>0.29833611006690114</v>
      </c>
      <c r="I20" s="27">
        <f t="shared" si="9"/>
        <v>0.27922743783490411</v>
      </c>
      <c r="J20" s="27">
        <f t="shared" si="9"/>
        <v>0.26605037269028781</v>
      </c>
      <c r="K20" s="27">
        <f t="shared" si="9"/>
        <v>0.24848984990809717</v>
      </c>
      <c r="L20" s="27">
        <f t="shared" si="9"/>
        <v>0.22154033455746874</v>
      </c>
      <c r="M20" s="27">
        <f t="shared" si="9"/>
        <v>0.20112003570827466</v>
      </c>
      <c r="N20" s="27">
        <f t="shared" si="9"/>
        <v>0.18360696578278307</v>
      </c>
      <c r="O20" s="27">
        <f t="shared" si="9"/>
        <v>0.20638952715452652</v>
      </c>
      <c r="P20" s="27">
        <f t="shared" si="9"/>
        <v>0.31788965283045167</v>
      </c>
    </row>
    <row r="21" spans="2:16" x14ac:dyDescent="0.25">
      <c r="B21" s="67" t="s">
        <v>37</v>
      </c>
      <c r="C21" s="2" t="s">
        <v>30</v>
      </c>
      <c r="D21" s="2">
        <v>35</v>
      </c>
      <c r="E21" s="45" t="s">
        <v>54</v>
      </c>
      <c r="F21" s="31">
        <v>20.88</v>
      </c>
      <c r="G21" s="31">
        <v>20.88</v>
      </c>
      <c r="H21" s="31">
        <v>22.1</v>
      </c>
      <c r="I21" s="31">
        <v>21.87</v>
      </c>
      <c r="J21" s="31">
        <v>21.62</v>
      </c>
      <c r="K21" s="31">
        <v>21.3</v>
      </c>
      <c r="L21" s="31">
        <v>20.85</v>
      </c>
      <c r="M21" s="31">
        <v>20.52</v>
      </c>
      <c r="N21" s="31">
        <v>20.28</v>
      </c>
      <c r="O21" s="31">
        <v>20.97</v>
      </c>
      <c r="P21" s="31">
        <v>23.5</v>
      </c>
    </row>
    <row r="22" spans="2:16" x14ac:dyDescent="0.25">
      <c r="B22" s="68"/>
      <c r="C22" s="10" t="s">
        <v>31</v>
      </c>
      <c r="D22" s="15">
        <v>759685</v>
      </c>
      <c r="E22" s="44"/>
      <c r="F22" s="15">
        <v>115090</v>
      </c>
      <c r="G22" s="15">
        <v>115090</v>
      </c>
      <c r="H22" s="15">
        <v>143639</v>
      </c>
      <c r="I22" s="15">
        <v>137634</v>
      </c>
      <c r="J22" s="15">
        <v>131575</v>
      </c>
      <c r="K22" s="15">
        <v>124350</v>
      </c>
      <c r="L22" s="15">
        <v>114452</v>
      </c>
      <c r="M22" s="15">
        <v>107627</v>
      </c>
      <c r="N22" s="15">
        <v>102886</v>
      </c>
      <c r="O22" s="15">
        <v>117023</v>
      </c>
      <c r="P22" s="15">
        <v>182368</v>
      </c>
    </row>
    <row r="23" spans="2:16" x14ac:dyDescent="0.25">
      <c r="B23" s="68"/>
      <c r="C23" s="70" t="s">
        <v>32</v>
      </c>
      <c r="D23" s="71"/>
      <c r="E23" s="9"/>
      <c r="F23" s="9">
        <f>IF(F22=0," ",F22-E22)</f>
        <v>115090</v>
      </c>
      <c r="G23" s="9">
        <f t="shared" ref="G23:P23" si="10">IF(G22=0," ",G22-F22)</f>
        <v>0</v>
      </c>
      <c r="H23" s="9">
        <f t="shared" si="10"/>
        <v>28549</v>
      </c>
      <c r="I23" s="9">
        <f t="shared" si="10"/>
        <v>-6005</v>
      </c>
      <c r="J23" s="9">
        <f t="shared" si="10"/>
        <v>-6059</v>
      </c>
      <c r="K23" s="9">
        <f t="shared" si="10"/>
        <v>-7225</v>
      </c>
      <c r="L23" s="9">
        <f t="shared" si="10"/>
        <v>-9898</v>
      </c>
      <c r="M23" s="9">
        <f t="shared" si="10"/>
        <v>-6825</v>
      </c>
      <c r="N23" s="9">
        <f t="shared" si="10"/>
        <v>-4741</v>
      </c>
      <c r="O23" s="9">
        <f t="shared" si="10"/>
        <v>14137</v>
      </c>
      <c r="P23" s="9">
        <f t="shared" si="10"/>
        <v>65345</v>
      </c>
    </row>
    <row r="24" spans="2:16" x14ac:dyDescent="0.25">
      <c r="B24" s="69"/>
      <c r="C24" s="72" t="s">
        <v>33</v>
      </c>
      <c r="D24" s="73"/>
      <c r="E24" s="46" t="s">
        <v>54</v>
      </c>
      <c r="F24" s="32">
        <f t="shared" ref="F24:P24" si="11">F22/$D$22</f>
        <v>0.15149700204690103</v>
      </c>
      <c r="G24" s="32">
        <f t="shared" si="11"/>
        <v>0.15149700204690103</v>
      </c>
      <c r="H24" s="32">
        <f t="shared" si="11"/>
        <v>0.18907705167273278</v>
      </c>
      <c r="I24" s="32">
        <f t="shared" si="11"/>
        <v>0.18117245963787623</v>
      </c>
      <c r="J24" s="32">
        <f t="shared" si="11"/>
        <v>0.17319678550978365</v>
      </c>
      <c r="K24" s="32">
        <f t="shared" si="11"/>
        <v>0.16368626470181721</v>
      </c>
      <c r="L24" s="32">
        <f t="shared" si="11"/>
        <v>0.15065718027866815</v>
      </c>
      <c r="M24" s="32">
        <f t="shared" si="11"/>
        <v>0.14167319349467214</v>
      </c>
      <c r="N24" s="32">
        <f t="shared" si="11"/>
        <v>0.13543244897556225</v>
      </c>
      <c r="O24" s="32">
        <f t="shared" si="11"/>
        <v>0.15404147771773827</v>
      </c>
      <c r="P24" s="32">
        <f t="shared" si="11"/>
        <v>0.24005739220861277</v>
      </c>
    </row>
    <row r="25" spans="2:16" x14ac:dyDescent="0.25">
      <c r="B25" s="64" t="s">
        <v>38</v>
      </c>
      <c r="C25" s="11" t="s">
        <v>30</v>
      </c>
      <c r="D25" s="11">
        <v>25</v>
      </c>
      <c r="E25" s="35">
        <v>7.4</v>
      </c>
      <c r="F25" s="36">
        <v>7.3</v>
      </c>
      <c r="G25" s="36">
        <v>6.95</v>
      </c>
      <c r="H25" s="36">
        <v>6.65</v>
      </c>
      <c r="I25" s="36">
        <v>6.3</v>
      </c>
      <c r="J25" s="36">
        <v>5.48</v>
      </c>
      <c r="K25" s="36">
        <v>5.0999999999999996</v>
      </c>
      <c r="L25" s="36">
        <v>4.5999999999999996</v>
      </c>
      <c r="M25" s="36">
        <v>4.5</v>
      </c>
      <c r="N25" s="36">
        <v>4.25</v>
      </c>
      <c r="O25" s="36">
        <v>4.2</v>
      </c>
      <c r="P25" s="36">
        <v>18.600000000000001</v>
      </c>
    </row>
    <row r="26" spans="2:16" x14ac:dyDescent="0.25">
      <c r="B26" s="65"/>
      <c r="C26" s="3" t="s">
        <v>31</v>
      </c>
      <c r="D26" s="6">
        <v>396884</v>
      </c>
      <c r="E26" s="29">
        <v>12313</v>
      </c>
      <c r="F26" s="6">
        <v>11922</v>
      </c>
      <c r="G26" s="6">
        <v>10436</v>
      </c>
      <c r="H26" s="6">
        <v>9288</v>
      </c>
      <c r="I26" s="6">
        <v>8073</v>
      </c>
      <c r="J26" s="6">
        <v>5498</v>
      </c>
      <c r="K26" s="6">
        <v>4492</v>
      </c>
      <c r="L26" s="6">
        <v>3352</v>
      </c>
      <c r="M26" s="6">
        <v>3149</v>
      </c>
      <c r="N26" s="6">
        <v>2674</v>
      </c>
      <c r="O26" s="6">
        <v>2568</v>
      </c>
      <c r="P26" s="6">
        <v>158166</v>
      </c>
    </row>
    <row r="27" spans="2:16" x14ac:dyDescent="0.25">
      <c r="B27" s="65"/>
      <c r="C27" s="55" t="s">
        <v>32</v>
      </c>
      <c r="D27" s="56"/>
      <c r="E27" s="29">
        <f>E26-'2024'!P27</f>
        <v>-717</v>
      </c>
      <c r="F27" s="29">
        <f>IF(F26=0," ",F26-E26)</f>
        <v>-391</v>
      </c>
      <c r="G27" s="29">
        <f t="shared" ref="G27:P27" si="12">IF(G26=0," ",G26-F26)</f>
        <v>-1486</v>
      </c>
      <c r="H27" s="29">
        <f t="shared" si="12"/>
        <v>-1148</v>
      </c>
      <c r="I27" s="29">
        <f t="shared" si="12"/>
        <v>-1215</v>
      </c>
      <c r="J27" s="29">
        <f t="shared" si="12"/>
        <v>-2575</v>
      </c>
      <c r="K27" s="29">
        <f t="shared" si="12"/>
        <v>-1006</v>
      </c>
      <c r="L27" s="29">
        <f t="shared" si="12"/>
        <v>-1140</v>
      </c>
      <c r="M27" s="29">
        <f t="shared" si="12"/>
        <v>-203</v>
      </c>
      <c r="N27" s="29">
        <f t="shared" si="12"/>
        <v>-475</v>
      </c>
      <c r="O27" s="29">
        <f t="shared" si="12"/>
        <v>-106</v>
      </c>
      <c r="P27" s="29">
        <f t="shared" si="12"/>
        <v>155598</v>
      </c>
    </row>
    <row r="28" spans="2:16" x14ac:dyDescent="0.25">
      <c r="B28" s="66"/>
      <c r="C28" s="57" t="s">
        <v>33</v>
      </c>
      <c r="D28" s="58"/>
      <c r="E28" s="27">
        <f>E26/$D$26</f>
        <v>3.1024178349341368E-2</v>
      </c>
      <c r="F28" s="27">
        <f t="shared" ref="F28:P28" si="13">F26/$D$26</f>
        <v>3.0039003839912922E-2</v>
      </c>
      <c r="G28" s="27">
        <f t="shared" si="13"/>
        <v>2.6294836778504551E-2</v>
      </c>
      <c r="H28" s="27">
        <f t="shared" si="13"/>
        <v>2.3402303947752997E-2</v>
      </c>
      <c r="I28" s="27">
        <f t="shared" si="13"/>
        <v>2.0340956047610888E-2</v>
      </c>
      <c r="J28" s="27">
        <f t="shared" si="13"/>
        <v>1.3852914201630703E-2</v>
      </c>
      <c r="K28" s="27">
        <f t="shared" si="13"/>
        <v>1.1318168532871065E-2</v>
      </c>
      <c r="L28" s="27">
        <f t="shared" si="13"/>
        <v>8.4457927253303224E-3</v>
      </c>
      <c r="M28" s="27">
        <f t="shared" si="13"/>
        <v>7.9343082613559622E-3</v>
      </c>
      <c r="N28" s="27">
        <f t="shared" si="13"/>
        <v>6.7374850082139873E-3</v>
      </c>
      <c r="O28" s="27">
        <f t="shared" si="13"/>
        <v>6.4704044506707246E-3</v>
      </c>
      <c r="P28" s="27">
        <f t="shared" si="13"/>
        <v>0.39851946664516585</v>
      </c>
    </row>
    <row r="29" spans="2:16" x14ac:dyDescent="0.25">
      <c r="B29" s="67" t="s">
        <v>39</v>
      </c>
      <c r="C29" s="2" t="s">
        <v>30</v>
      </c>
      <c r="D29" s="2">
        <v>32</v>
      </c>
      <c r="E29" s="30">
        <v>5.55</v>
      </c>
      <c r="F29" s="31">
        <v>5.55</v>
      </c>
      <c r="G29" s="31">
        <v>5.55</v>
      </c>
      <c r="H29" s="31">
        <v>7.42</v>
      </c>
      <c r="I29" s="31">
        <v>7.85</v>
      </c>
      <c r="J29" s="31">
        <v>7.91</v>
      </c>
      <c r="K29" s="31">
        <v>5.77</v>
      </c>
      <c r="L29" s="31">
        <v>5.73</v>
      </c>
      <c r="M29" s="31">
        <v>5.71</v>
      </c>
      <c r="N29" s="31">
        <v>5.71</v>
      </c>
      <c r="O29" s="31">
        <v>5.71</v>
      </c>
      <c r="P29" s="31">
        <v>8.9</v>
      </c>
    </row>
    <row r="30" spans="2:16" x14ac:dyDescent="0.25">
      <c r="B30" s="68"/>
      <c r="C30" s="10" t="s">
        <v>31</v>
      </c>
      <c r="D30" s="15">
        <v>327894</v>
      </c>
      <c r="E30" s="25">
        <v>624</v>
      </c>
      <c r="F30" s="15">
        <v>624</v>
      </c>
      <c r="G30" s="15">
        <v>624</v>
      </c>
      <c r="H30" s="15">
        <v>4210</v>
      </c>
      <c r="I30" s="15">
        <v>5260</v>
      </c>
      <c r="J30" s="15">
        <v>5412</v>
      </c>
      <c r="K30" s="15">
        <v>934</v>
      </c>
      <c r="L30" s="15">
        <v>875</v>
      </c>
      <c r="M30" s="15">
        <v>846</v>
      </c>
      <c r="N30" s="15">
        <v>846</v>
      </c>
      <c r="O30" s="15">
        <v>846</v>
      </c>
      <c r="P30" s="15">
        <v>8056</v>
      </c>
    </row>
    <row r="31" spans="2:16" x14ac:dyDescent="0.25">
      <c r="B31" s="68"/>
      <c r="C31" s="70" t="s">
        <v>32</v>
      </c>
      <c r="D31" s="71"/>
      <c r="E31" s="9">
        <f>E30-'2024'!P31</f>
        <v>0</v>
      </c>
      <c r="F31" s="9">
        <f>IF(F30=0," ",F30-E30)</f>
        <v>0</v>
      </c>
      <c r="G31" s="9">
        <f>IF(G30=0," ",G30-F30)</f>
        <v>0</v>
      </c>
      <c r="H31" s="9">
        <f t="shared" ref="H31:P31" si="14">IF(H30=0," ",H30-G30)</f>
        <v>3586</v>
      </c>
      <c r="I31" s="9">
        <f t="shared" si="14"/>
        <v>1050</v>
      </c>
      <c r="J31" s="9">
        <f t="shared" si="14"/>
        <v>152</v>
      </c>
      <c r="K31" s="9">
        <f t="shared" si="14"/>
        <v>-4478</v>
      </c>
      <c r="L31" s="9">
        <f t="shared" si="14"/>
        <v>-59</v>
      </c>
      <c r="M31" s="9">
        <f t="shared" si="14"/>
        <v>-29</v>
      </c>
      <c r="N31" s="9">
        <f t="shared" si="14"/>
        <v>0</v>
      </c>
      <c r="O31" s="9">
        <f t="shared" si="14"/>
        <v>0</v>
      </c>
      <c r="P31" s="9">
        <f t="shared" si="14"/>
        <v>7210</v>
      </c>
    </row>
    <row r="32" spans="2:16" x14ac:dyDescent="0.25">
      <c r="B32" s="69"/>
      <c r="C32" s="72" t="s">
        <v>33</v>
      </c>
      <c r="D32" s="73"/>
      <c r="E32" s="32">
        <f>E30/$D$30</f>
        <v>1.9030540357554576E-3</v>
      </c>
      <c r="F32" s="32">
        <f t="shared" ref="F32:P32" si="15">F30/$D$30</f>
        <v>1.9030540357554576E-3</v>
      </c>
      <c r="G32" s="32">
        <f t="shared" si="15"/>
        <v>1.9030540357554576E-3</v>
      </c>
      <c r="H32" s="32">
        <f t="shared" si="15"/>
        <v>1.2839515209183456E-2</v>
      </c>
      <c r="I32" s="32">
        <f t="shared" si="15"/>
        <v>1.6041769596271967E-2</v>
      </c>
      <c r="J32" s="32">
        <f t="shared" si="15"/>
        <v>1.6505334040879064E-2</v>
      </c>
      <c r="K32" s="32">
        <f t="shared" si="15"/>
        <v>2.8484815214673033E-3</v>
      </c>
      <c r="L32" s="32">
        <f t="shared" si="15"/>
        <v>2.6685453225737585E-3</v>
      </c>
      <c r="M32" s="32">
        <f t="shared" si="15"/>
        <v>2.5801021061684568E-3</v>
      </c>
      <c r="N32" s="32">
        <f t="shared" si="15"/>
        <v>2.5801021061684568E-3</v>
      </c>
      <c r="O32" s="32">
        <f t="shared" si="15"/>
        <v>2.5801021061684568E-3</v>
      </c>
      <c r="P32" s="32">
        <f t="shared" si="15"/>
        <v>2.4568915564176227E-2</v>
      </c>
    </row>
    <row r="33" spans="2:16" x14ac:dyDescent="0.25">
      <c r="B33" s="52" t="s">
        <v>40</v>
      </c>
      <c r="C33" s="11" t="s">
        <v>30</v>
      </c>
      <c r="D33" s="11">
        <v>35</v>
      </c>
      <c r="E33" s="35">
        <v>0</v>
      </c>
      <c r="F33" s="36">
        <v>0</v>
      </c>
      <c r="G33" s="36">
        <v>0</v>
      </c>
      <c r="H33" s="36">
        <v>0</v>
      </c>
      <c r="I33" s="36">
        <v>0</v>
      </c>
      <c r="J33" s="36">
        <v>0</v>
      </c>
      <c r="K33" s="36">
        <v>0</v>
      </c>
      <c r="L33" s="36">
        <v>0</v>
      </c>
      <c r="M33" s="36">
        <v>0</v>
      </c>
      <c r="N33" s="36">
        <v>0</v>
      </c>
      <c r="O33" s="36">
        <v>5.45</v>
      </c>
      <c r="P33" s="36">
        <v>30.3</v>
      </c>
    </row>
    <row r="34" spans="2:16" x14ac:dyDescent="0.25">
      <c r="B34" s="53"/>
      <c r="C34" s="3" t="s">
        <v>31</v>
      </c>
      <c r="D34" s="6">
        <v>267041</v>
      </c>
      <c r="E34" s="24">
        <v>0</v>
      </c>
      <c r="F34" s="6">
        <v>9.9999999999999995E-7</v>
      </c>
      <c r="G34" s="6">
        <v>0</v>
      </c>
      <c r="H34" s="6">
        <v>0</v>
      </c>
      <c r="I34" s="6">
        <v>0</v>
      </c>
      <c r="J34" s="6">
        <v>0</v>
      </c>
      <c r="K34" s="6">
        <v>0</v>
      </c>
      <c r="L34" s="48">
        <v>0</v>
      </c>
      <c r="M34" s="6">
        <v>0</v>
      </c>
      <c r="N34" s="6">
        <v>0</v>
      </c>
      <c r="O34" s="6">
        <v>1049</v>
      </c>
      <c r="P34" s="6">
        <v>176060</v>
      </c>
    </row>
    <row r="35" spans="2:16" x14ac:dyDescent="0.25">
      <c r="B35" s="53"/>
      <c r="C35" s="55" t="s">
        <v>32</v>
      </c>
      <c r="D35" s="56"/>
      <c r="E35" s="29">
        <f>E34-'2024'!P35</f>
        <v>-61</v>
      </c>
      <c r="F35" s="29">
        <f>IF(F34=0," ",F34-E34)</f>
        <v>9.9999999999999995E-7</v>
      </c>
      <c r="G35" s="47" t="str">
        <f>IF(G34=0,"0",G34-F34)</f>
        <v>0</v>
      </c>
      <c r="H35" s="47" t="str">
        <f t="shared" ref="H35" si="16">IF(H34=0,"0",H34-G34)</f>
        <v>0</v>
      </c>
      <c r="I35" s="47">
        <v>0</v>
      </c>
      <c r="J35" s="47">
        <v>0</v>
      </c>
      <c r="K35" s="47">
        <v>0</v>
      </c>
      <c r="L35" s="47">
        <v>0</v>
      </c>
      <c r="M35" s="47">
        <v>0</v>
      </c>
      <c r="N35" s="47">
        <v>0</v>
      </c>
      <c r="O35" s="47">
        <f>IF(O34=0," ",O34-N34)</f>
        <v>1049</v>
      </c>
      <c r="P35" s="47">
        <f>IF(P34=0," ",P34-O34)</f>
        <v>175011</v>
      </c>
    </row>
    <row r="36" spans="2:16" x14ac:dyDescent="0.25">
      <c r="B36" s="54"/>
      <c r="C36" s="57" t="s">
        <v>33</v>
      </c>
      <c r="D36" s="58"/>
      <c r="E36" s="27">
        <f>E34/$D$34</f>
        <v>0</v>
      </c>
      <c r="F36" s="27">
        <f t="shared" ref="F36:P36" si="17">F34/$D$34</f>
        <v>3.7447433165693659E-12</v>
      </c>
      <c r="G36" s="27">
        <f t="shared" si="17"/>
        <v>0</v>
      </c>
      <c r="H36" s="27">
        <f t="shared" si="17"/>
        <v>0</v>
      </c>
      <c r="I36" s="27">
        <f t="shared" si="17"/>
        <v>0</v>
      </c>
      <c r="J36" s="27">
        <f t="shared" si="17"/>
        <v>0</v>
      </c>
      <c r="K36" s="27">
        <f t="shared" si="17"/>
        <v>0</v>
      </c>
      <c r="L36" s="27">
        <f t="shared" si="17"/>
        <v>0</v>
      </c>
      <c r="M36" s="27">
        <f t="shared" si="17"/>
        <v>0</v>
      </c>
      <c r="N36" s="27">
        <f t="shared" si="17"/>
        <v>0</v>
      </c>
      <c r="O36" s="27">
        <f t="shared" si="17"/>
        <v>3.9282357390812645E-3</v>
      </c>
      <c r="P36" s="27">
        <f t="shared" si="17"/>
        <v>0.65929950831520256</v>
      </c>
    </row>
    <row r="37" spans="2:16" x14ac:dyDescent="0.25">
      <c r="B37" s="7" t="s">
        <v>41</v>
      </c>
      <c r="C37" s="2"/>
      <c r="D37" s="9">
        <f>D10+D14+D18+D22+D26+D30+D34</f>
        <v>10590032</v>
      </c>
      <c r="E37" s="26">
        <f>E10+E14+E18+E22+E26+E30+E34+133975</f>
        <v>686081</v>
      </c>
      <c r="F37" s="26">
        <f t="shared" ref="F37:P37" si="18">F10+F14+F18+F22+F26+F30+F34</f>
        <v>641355.00000100001</v>
      </c>
      <c r="G37" s="26">
        <f t="shared" si="18"/>
        <v>618284</v>
      </c>
      <c r="H37" s="26">
        <f t="shared" si="18"/>
        <v>657416</v>
      </c>
      <c r="I37" s="26">
        <f t="shared" si="18"/>
        <v>625108</v>
      </c>
      <c r="J37" s="26">
        <f t="shared" si="18"/>
        <v>590546</v>
      </c>
      <c r="K37" s="26">
        <f t="shared" si="18"/>
        <v>544699</v>
      </c>
      <c r="L37" s="26">
        <f t="shared" si="18"/>
        <v>486504</v>
      </c>
      <c r="M37" s="26">
        <f t="shared" si="18"/>
        <v>446107</v>
      </c>
      <c r="N37" s="26">
        <f t="shared" si="18"/>
        <v>413094</v>
      </c>
      <c r="O37" s="26">
        <f t="shared" si="18"/>
        <v>506550</v>
      </c>
      <c r="P37" s="26">
        <f t="shared" si="18"/>
        <v>1268224</v>
      </c>
    </row>
    <row r="38" spans="2:16" x14ac:dyDescent="0.25">
      <c r="B38" s="12" t="s">
        <v>42</v>
      </c>
      <c r="C38" s="10"/>
      <c r="D38" s="10"/>
      <c r="E38" s="25">
        <v>-66658</v>
      </c>
      <c r="F38" s="15">
        <f>IF(F37=0," ",F37-E37)</f>
        <v>-44725.999998999992</v>
      </c>
      <c r="G38" s="15">
        <f t="shared" ref="G38:P38" si="19">IF(G37=0," ",G37-F37)</f>
        <v>-23071.000001000008</v>
      </c>
      <c r="H38" s="15">
        <f t="shared" si="19"/>
        <v>39132</v>
      </c>
      <c r="I38" s="15">
        <f t="shared" si="19"/>
        <v>-32308</v>
      </c>
      <c r="J38" s="15">
        <f t="shared" si="19"/>
        <v>-34562</v>
      </c>
      <c r="K38" s="15">
        <f t="shared" si="19"/>
        <v>-45847</v>
      </c>
      <c r="L38" s="15">
        <f>IF(L37=0," ",L37-K37)</f>
        <v>-58195</v>
      </c>
      <c r="M38" s="15">
        <f t="shared" si="19"/>
        <v>-40397</v>
      </c>
      <c r="N38" s="15">
        <f t="shared" si="19"/>
        <v>-33013</v>
      </c>
      <c r="O38" s="15">
        <f t="shared" si="19"/>
        <v>93456</v>
      </c>
      <c r="P38" s="15">
        <f t="shared" si="19"/>
        <v>761674</v>
      </c>
    </row>
    <row r="39" spans="2:16" x14ac:dyDescent="0.25">
      <c r="B39" s="7" t="s">
        <v>43</v>
      </c>
      <c r="C39" s="2"/>
      <c r="D39" s="2"/>
      <c r="E39" s="33">
        <f>E37/$D$37</f>
        <v>6.4785545501656647E-2</v>
      </c>
      <c r="F39" s="33">
        <f t="shared" ref="F39:P39" si="20">F37/$D$37</f>
        <v>6.0562139944525195E-2</v>
      </c>
      <c r="G39" s="33">
        <f t="shared" si="20"/>
        <v>5.8383581843756471E-2</v>
      </c>
      <c r="H39" s="33">
        <f t="shared" si="20"/>
        <v>6.2078754813960906E-2</v>
      </c>
      <c r="I39" s="33">
        <f t="shared" si="20"/>
        <v>5.9027961388596367E-2</v>
      </c>
      <c r="J39" s="33">
        <f t="shared" si="20"/>
        <v>5.5764326302319013E-2</v>
      </c>
      <c r="K39" s="33">
        <f t="shared" si="20"/>
        <v>5.1435066485162648E-2</v>
      </c>
      <c r="L39" s="33">
        <f t="shared" si="20"/>
        <v>4.5939804525614275E-2</v>
      </c>
      <c r="M39" s="33">
        <f t="shared" si="20"/>
        <v>4.2125179602856722E-2</v>
      </c>
      <c r="N39" s="33">
        <f t="shared" si="20"/>
        <v>3.9007814140693813E-2</v>
      </c>
      <c r="O39" s="33">
        <f t="shared" si="20"/>
        <v>4.7832716652791984E-2</v>
      </c>
      <c r="P39" s="33">
        <f t="shared" si="20"/>
        <v>0.11975638978239159</v>
      </c>
    </row>
    <row r="41" spans="2:16" ht="41.25" customHeight="1" thickBot="1" x14ac:dyDescent="0.3">
      <c r="B41" s="59" t="s">
        <v>56</v>
      </c>
      <c r="C41" s="59"/>
      <c r="D41" s="59"/>
      <c r="E41" s="4" t="s">
        <v>3</v>
      </c>
      <c r="F41" s="5" t="s">
        <v>4</v>
      </c>
      <c r="G41" s="5" t="s">
        <v>5</v>
      </c>
      <c r="H41" s="5" t="s">
        <v>6</v>
      </c>
      <c r="I41" s="5" t="s">
        <v>7</v>
      </c>
      <c r="J41" s="5" t="s">
        <v>8</v>
      </c>
      <c r="K41" s="5" t="s">
        <v>9</v>
      </c>
      <c r="L41" s="5" t="s">
        <v>10</v>
      </c>
      <c r="M41" s="5" t="s">
        <v>11</v>
      </c>
      <c r="N41" s="5" t="s">
        <v>12</v>
      </c>
      <c r="O41" s="5" t="s">
        <v>13</v>
      </c>
      <c r="P41" s="5" t="s">
        <v>14</v>
      </c>
    </row>
    <row r="42" spans="2:16" ht="15.75" thickTop="1" x14ac:dyDescent="0.25">
      <c r="B42" s="60" t="s">
        <v>46</v>
      </c>
      <c r="C42" s="16" t="s">
        <v>30</v>
      </c>
      <c r="D42" s="16">
        <v>120</v>
      </c>
      <c r="E42" s="17"/>
      <c r="F42" s="18"/>
      <c r="G42" s="18"/>
      <c r="H42" s="18"/>
      <c r="I42" s="18"/>
      <c r="J42" s="18"/>
      <c r="K42" s="18"/>
      <c r="L42" s="18"/>
      <c r="M42" s="18"/>
      <c r="N42" s="18"/>
      <c r="O42" s="18"/>
      <c r="P42" s="18"/>
    </row>
    <row r="43" spans="2:16" x14ac:dyDescent="0.25">
      <c r="B43" s="61"/>
      <c r="C43" s="1" t="s">
        <v>31</v>
      </c>
      <c r="D43" s="6">
        <v>13014589</v>
      </c>
      <c r="E43" s="19" t="s">
        <v>47</v>
      </c>
      <c r="F43" s="20" t="s">
        <v>47</v>
      </c>
      <c r="G43" s="20" t="s">
        <v>47</v>
      </c>
      <c r="H43" s="20" t="s">
        <v>47</v>
      </c>
      <c r="I43" s="20" t="s">
        <v>47</v>
      </c>
      <c r="J43" s="20" t="s">
        <v>47</v>
      </c>
      <c r="K43" s="20" t="s">
        <v>47</v>
      </c>
      <c r="L43" s="20" t="s">
        <v>47</v>
      </c>
      <c r="M43" s="20" t="s">
        <v>47</v>
      </c>
      <c r="N43" s="20" t="s">
        <v>47</v>
      </c>
      <c r="O43" s="20" t="s">
        <v>47</v>
      </c>
      <c r="P43" s="20" t="s">
        <v>47</v>
      </c>
    </row>
    <row r="44" spans="2:16" x14ac:dyDescent="0.25">
      <c r="B44" s="61"/>
      <c r="C44" s="55" t="s">
        <v>32</v>
      </c>
      <c r="D44" s="56"/>
      <c r="E44" s="21" t="s">
        <v>47</v>
      </c>
      <c r="F44" s="21" t="s">
        <v>47</v>
      </c>
      <c r="G44" s="21" t="s">
        <v>47</v>
      </c>
      <c r="H44" s="21" t="s">
        <v>47</v>
      </c>
      <c r="I44" s="21" t="s">
        <v>47</v>
      </c>
      <c r="J44" s="21" t="s">
        <v>47</v>
      </c>
      <c r="K44" s="21" t="s">
        <v>47</v>
      </c>
      <c r="L44" s="21" t="s">
        <v>47</v>
      </c>
      <c r="M44" s="21" t="s">
        <v>47</v>
      </c>
      <c r="N44" s="21" t="s">
        <v>47</v>
      </c>
      <c r="O44" s="21" t="s">
        <v>47</v>
      </c>
      <c r="P44" s="21" t="s">
        <v>47</v>
      </c>
    </row>
    <row r="45" spans="2:16" x14ac:dyDescent="0.25">
      <c r="B45" s="61"/>
      <c r="C45" s="62" t="s">
        <v>33</v>
      </c>
      <c r="D45" s="63"/>
      <c r="E45" s="21" t="s">
        <v>48</v>
      </c>
      <c r="F45" s="21" t="s">
        <v>48</v>
      </c>
      <c r="G45" s="21" t="s">
        <v>48</v>
      </c>
      <c r="H45" s="21" t="s">
        <v>48</v>
      </c>
      <c r="I45" s="21" t="s">
        <v>48</v>
      </c>
      <c r="J45" s="21" t="s">
        <v>48</v>
      </c>
      <c r="K45" s="21" t="s">
        <v>48</v>
      </c>
      <c r="L45" s="21" t="s">
        <v>48</v>
      </c>
      <c r="M45" s="21" t="s">
        <v>48</v>
      </c>
      <c r="N45" s="21" t="s">
        <v>48</v>
      </c>
      <c r="O45" s="21" t="s">
        <v>48</v>
      </c>
      <c r="P45" s="21" t="s">
        <v>48</v>
      </c>
    </row>
    <row r="47" spans="2:16" hidden="1" x14ac:dyDescent="0.25">
      <c r="B47" t="s">
        <v>15</v>
      </c>
      <c r="C47" t="s">
        <v>16</v>
      </c>
      <c r="D47" t="s">
        <v>17</v>
      </c>
      <c r="E47" t="s">
        <v>18</v>
      </c>
      <c r="F47" t="s">
        <v>19</v>
      </c>
      <c r="G47" t="s">
        <v>20</v>
      </c>
      <c r="H47" t="s">
        <v>21</v>
      </c>
      <c r="I47" t="s">
        <v>22</v>
      </c>
      <c r="J47" t="s">
        <v>23</v>
      </c>
      <c r="K47" t="s">
        <v>24</v>
      </c>
      <c r="L47" t="s">
        <v>25</v>
      </c>
      <c r="M47" t="s">
        <v>26</v>
      </c>
      <c r="N47" t="s">
        <v>27</v>
      </c>
      <c r="O47" t="s">
        <v>28</v>
      </c>
      <c r="P47" t="s">
        <v>44</v>
      </c>
    </row>
    <row r="48" spans="2:16" x14ac:dyDescent="0.25">
      <c r="B48" s="22" t="s">
        <v>50</v>
      </c>
      <c r="C48" s="22"/>
      <c r="D48" s="23">
        <f>D37+D43</f>
        <v>23604621</v>
      </c>
      <c r="E48" s="43">
        <f>E37+E43</f>
        <v>686081</v>
      </c>
      <c r="F48" s="23">
        <f t="shared" ref="F48:P48" si="21">F37+F43</f>
        <v>641355.00000100001</v>
      </c>
      <c r="G48" s="23">
        <f t="shared" si="21"/>
        <v>618284</v>
      </c>
      <c r="H48" s="23">
        <f t="shared" si="21"/>
        <v>657416</v>
      </c>
      <c r="I48" s="23">
        <f t="shared" si="21"/>
        <v>625108</v>
      </c>
      <c r="J48" s="23">
        <f t="shared" si="21"/>
        <v>590546</v>
      </c>
      <c r="K48" s="23">
        <f t="shared" si="21"/>
        <v>544699</v>
      </c>
      <c r="L48" s="23">
        <f t="shared" si="21"/>
        <v>486504</v>
      </c>
      <c r="M48" s="23">
        <f t="shared" si="21"/>
        <v>446107</v>
      </c>
      <c r="N48" s="23">
        <f t="shared" si="21"/>
        <v>413094</v>
      </c>
      <c r="O48" s="23">
        <f t="shared" si="21"/>
        <v>506550</v>
      </c>
      <c r="P48" s="23">
        <f t="shared" si="21"/>
        <v>1268224</v>
      </c>
    </row>
    <row r="49" spans="2:16" x14ac:dyDescent="0.25">
      <c r="B49" s="22" t="s">
        <v>49</v>
      </c>
      <c r="C49" s="22"/>
      <c r="D49" s="22"/>
      <c r="E49" s="23">
        <f>IFERROR(E38+E44," ")</f>
        <v>-66658</v>
      </c>
      <c r="F49" s="23">
        <f t="shared" ref="F49:P49" si="22">IFERROR(F38+F44," ")</f>
        <v>-44725.999998999992</v>
      </c>
      <c r="G49" s="23">
        <f t="shared" si="22"/>
        <v>-23071.000001000008</v>
      </c>
      <c r="H49" s="23">
        <f t="shared" si="22"/>
        <v>39132</v>
      </c>
      <c r="I49" s="23">
        <f t="shared" si="22"/>
        <v>-32308</v>
      </c>
      <c r="J49" s="23">
        <f t="shared" si="22"/>
        <v>-34562</v>
      </c>
      <c r="K49" s="23">
        <f t="shared" si="22"/>
        <v>-45847</v>
      </c>
      <c r="L49" s="23">
        <f t="shared" si="22"/>
        <v>-58195</v>
      </c>
      <c r="M49" s="23">
        <f t="shared" si="22"/>
        <v>-40397</v>
      </c>
      <c r="N49" s="23">
        <f t="shared" si="22"/>
        <v>-33013</v>
      </c>
      <c r="O49" s="23">
        <f t="shared" si="22"/>
        <v>93456</v>
      </c>
      <c r="P49" s="23">
        <f t="shared" si="22"/>
        <v>761674</v>
      </c>
    </row>
    <row r="50" spans="2:16" x14ac:dyDescent="0.25">
      <c r="B50" s="22" t="s">
        <v>43</v>
      </c>
      <c r="C50" s="22"/>
      <c r="D50" s="22"/>
      <c r="E50" s="34">
        <f>E48/$D$48</f>
        <v>2.9065537633499814E-2</v>
      </c>
      <c r="F50" s="34">
        <f t="shared" ref="F50:P50" si="23">F48/$D$48</f>
        <v>2.7170739153193776E-2</v>
      </c>
      <c r="G50" s="34">
        <f t="shared" si="23"/>
        <v>2.6193345785979788E-2</v>
      </c>
      <c r="H50" s="34">
        <f t="shared" si="23"/>
        <v>2.7851156771379639E-2</v>
      </c>
      <c r="I50" s="34">
        <f t="shared" si="23"/>
        <v>2.6482441721898436E-2</v>
      </c>
      <c r="J50" s="34">
        <f t="shared" si="23"/>
        <v>2.501823689522488E-2</v>
      </c>
      <c r="K50" s="34">
        <f t="shared" si="23"/>
        <v>2.3075947713797226E-2</v>
      </c>
      <c r="L50" s="34">
        <f t="shared" si="23"/>
        <v>2.0610540622533188E-2</v>
      </c>
      <c r="M50" s="34">
        <f t="shared" si="23"/>
        <v>1.8899138435647833E-2</v>
      </c>
      <c r="N50" s="34">
        <f t="shared" si="23"/>
        <v>1.7500556352927674E-2</v>
      </c>
      <c r="O50" s="34">
        <f t="shared" si="23"/>
        <v>2.14597811165873E-2</v>
      </c>
      <c r="P50" s="34">
        <f t="shared" si="23"/>
        <v>5.3727784911268013E-2</v>
      </c>
    </row>
    <row r="52" spans="2:16" x14ac:dyDescent="0.25">
      <c r="B52" s="41" t="s">
        <v>53</v>
      </c>
    </row>
    <row r="53" spans="2:16" x14ac:dyDescent="0.25">
      <c r="B53" s="42" t="s">
        <v>51</v>
      </c>
    </row>
    <row r="54" spans="2:16" x14ac:dyDescent="0.25">
      <c r="B54" s="42" t="s">
        <v>52</v>
      </c>
    </row>
    <row r="55" spans="2:16" x14ac:dyDescent="0.25">
      <c r="B55" s="42" t="s">
        <v>55</v>
      </c>
    </row>
  </sheetData>
  <mergeCells count="31">
    <mergeCell ref="E7:P7"/>
    <mergeCell ref="B9:B12"/>
    <mergeCell ref="C11:D11"/>
    <mergeCell ref="C12:D12"/>
    <mergeCell ref="B7:B8"/>
    <mergeCell ref="C7:C8"/>
    <mergeCell ref="D7:D8"/>
    <mergeCell ref="C27:D27"/>
    <mergeCell ref="C28:D28"/>
    <mergeCell ref="B13:B16"/>
    <mergeCell ref="C15:D15"/>
    <mergeCell ref="C16:D16"/>
    <mergeCell ref="B17:B20"/>
    <mergeCell ref="C19:D19"/>
    <mergeCell ref="C20:D20"/>
    <mergeCell ref="D2:P2"/>
    <mergeCell ref="D4:P4"/>
    <mergeCell ref="B41:D41"/>
    <mergeCell ref="B42:B45"/>
    <mergeCell ref="C44:D44"/>
    <mergeCell ref="C45:D45"/>
    <mergeCell ref="B29:B32"/>
    <mergeCell ref="C31:D31"/>
    <mergeCell ref="C32:D32"/>
    <mergeCell ref="B33:B36"/>
    <mergeCell ref="C35:D35"/>
    <mergeCell ref="C36:D36"/>
    <mergeCell ref="B21:B24"/>
    <mergeCell ref="C23:D23"/>
    <mergeCell ref="C24:D24"/>
    <mergeCell ref="B25:B28"/>
  </mergeCells>
  <pageMargins left="0.39370078740157483" right="0.39370078740157483" top="0.39370078740157483" bottom="0.39370078740157483" header="0.31496062992125984" footer="0.31496062992125984"/>
  <pageSetup paperSize="9" scale="64" orientation="landscape" horizontalDpi="1200" verticalDpi="1200" r:id="rId1"/>
  <ignoredErrors>
    <ignoredError sqref="E43:P45" numberStoredAsText="1"/>
    <ignoredError sqref="G15 J11" formula="1"/>
  </ignoredErrors>
  <drawing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Q62"/>
  <sheetViews>
    <sheetView zoomScaleNormal="100" workbookViewId="0"/>
  </sheetViews>
  <sheetFormatPr baseColWidth="10" defaultRowHeight="15" x14ac:dyDescent="0.25"/>
  <cols>
    <col min="2" max="2" width="16.140625" customWidth="1"/>
    <col min="3" max="3" width="16.42578125" customWidth="1"/>
    <col min="4" max="4" width="18.28515625" customWidth="1"/>
    <col min="5" max="10" width="12" customWidth="1"/>
    <col min="11" max="12" width="13" customWidth="1"/>
    <col min="13" max="13" width="14" customWidth="1"/>
    <col min="14" max="14" width="13" customWidth="1"/>
    <col min="15" max="15" width="14" customWidth="1"/>
    <col min="16" max="16" width="13" customWidth="1"/>
  </cols>
  <sheetData>
    <row r="2" spans="2:16" ht="21" x14ac:dyDescent="0.35">
      <c r="D2" s="75" t="s">
        <v>57</v>
      </c>
      <c r="E2" s="75"/>
      <c r="F2" s="75"/>
      <c r="G2" s="75"/>
      <c r="H2" s="75"/>
      <c r="I2" s="75"/>
      <c r="J2" s="75"/>
      <c r="K2" s="75"/>
      <c r="L2" s="75"/>
      <c r="M2" s="75"/>
      <c r="N2" s="75"/>
      <c r="O2" s="75"/>
      <c r="P2" s="75"/>
    </row>
    <row r="4" spans="2:16" ht="22.5" customHeight="1" x14ac:dyDescent="0.35">
      <c r="D4" s="76" t="s">
        <v>59</v>
      </c>
      <c r="E4" s="76"/>
      <c r="F4" s="76"/>
      <c r="G4" s="76"/>
      <c r="H4" s="76"/>
      <c r="I4" s="76"/>
      <c r="J4" s="76"/>
      <c r="K4" s="76"/>
      <c r="L4" s="76"/>
      <c r="M4" s="76"/>
      <c r="N4" s="76"/>
      <c r="O4" s="76"/>
      <c r="P4" s="76"/>
    </row>
    <row r="8" spans="2:16" x14ac:dyDescent="0.25">
      <c r="B8" s="77" t="s">
        <v>0</v>
      </c>
      <c r="C8" s="77" t="s">
        <v>1</v>
      </c>
      <c r="D8" s="77" t="s">
        <v>2</v>
      </c>
      <c r="E8" s="79" t="s">
        <v>34</v>
      </c>
      <c r="F8" s="80"/>
      <c r="G8" s="80"/>
      <c r="H8" s="80"/>
      <c r="I8" s="80"/>
      <c r="J8" s="80"/>
      <c r="K8" s="80"/>
      <c r="L8" s="80"/>
      <c r="M8" s="80"/>
      <c r="N8" s="80"/>
      <c r="O8" s="80"/>
      <c r="P8" s="81"/>
    </row>
    <row r="9" spans="2:16" ht="15.75" thickBot="1" x14ac:dyDescent="0.3">
      <c r="B9" s="78"/>
      <c r="C9" s="78"/>
      <c r="D9" s="78"/>
      <c r="E9" s="4" t="s">
        <v>3</v>
      </c>
      <c r="F9" s="5" t="s">
        <v>4</v>
      </c>
      <c r="G9" s="5" t="s">
        <v>5</v>
      </c>
      <c r="H9" s="5" t="s">
        <v>6</v>
      </c>
      <c r="I9" s="5" t="s">
        <v>7</v>
      </c>
      <c r="J9" s="5" t="s">
        <v>8</v>
      </c>
      <c r="K9" s="5" t="s">
        <v>9</v>
      </c>
      <c r="L9" s="5" t="s">
        <v>10</v>
      </c>
      <c r="M9" s="5" t="s">
        <v>11</v>
      </c>
      <c r="N9" s="5" t="s">
        <v>12</v>
      </c>
      <c r="O9" s="5" t="s">
        <v>13</v>
      </c>
      <c r="P9" s="5" t="s">
        <v>14</v>
      </c>
    </row>
    <row r="10" spans="2:16" ht="15.75" thickTop="1" x14ac:dyDescent="0.25">
      <c r="B10" s="74" t="s">
        <v>29</v>
      </c>
      <c r="C10" s="13" t="s">
        <v>30</v>
      </c>
      <c r="D10" s="13">
        <v>32</v>
      </c>
      <c r="E10" s="14">
        <v>9.58</v>
      </c>
      <c r="F10" s="13">
        <v>9.3699999999999992</v>
      </c>
      <c r="G10" s="13">
        <v>9.07</v>
      </c>
      <c r="H10" s="13">
        <v>8.59</v>
      </c>
      <c r="I10" s="13">
        <v>8.18</v>
      </c>
      <c r="J10" s="13">
        <v>7.84</v>
      </c>
      <c r="K10" s="13">
        <v>7.31</v>
      </c>
      <c r="L10" s="13">
        <v>6.83</v>
      </c>
      <c r="M10" s="13">
        <v>6.47</v>
      </c>
      <c r="N10" s="13">
        <v>6.3</v>
      </c>
      <c r="O10" s="13">
        <v>6.25</v>
      </c>
      <c r="P10" s="13">
        <v>6.1</v>
      </c>
    </row>
    <row r="11" spans="2:16" x14ac:dyDescent="0.25">
      <c r="B11" s="53"/>
      <c r="C11" s="3" t="s">
        <v>31</v>
      </c>
      <c r="D11" s="6">
        <v>5640766</v>
      </c>
      <c r="E11" s="24">
        <v>263333</v>
      </c>
      <c r="F11" s="6">
        <v>247788</v>
      </c>
      <c r="G11" s="6">
        <v>226746</v>
      </c>
      <c r="H11" s="6">
        <v>196075</v>
      </c>
      <c r="I11" s="6">
        <v>172492</v>
      </c>
      <c r="J11" s="6">
        <v>154513</v>
      </c>
      <c r="K11" s="6">
        <v>129053</v>
      </c>
      <c r="L11" s="6">
        <v>108381</v>
      </c>
      <c r="M11" s="6">
        <v>94238</v>
      </c>
      <c r="N11" s="6">
        <v>87697</v>
      </c>
      <c r="O11" s="6">
        <v>86172</v>
      </c>
      <c r="P11" s="6">
        <v>80924</v>
      </c>
    </row>
    <row r="12" spans="2:16" x14ac:dyDescent="0.25">
      <c r="B12" s="53"/>
      <c r="C12" s="55" t="s">
        <v>32</v>
      </c>
      <c r="D12" s="56"/>
      <c r="E12" s="8">
        <v>-19269</v>
      </c>
      <c r="F12" s="29">
        <f>F11-E11</f>
        <v>-15545</v>
      </c>
      <c r="G12" s="29">
        <f t="shared" ref="G12:P12" si="0">G11-F11</f>
        <v>-21042</v>
      </c>
      <c r="H12" s="29">
        <f t="shared" si="0"/>
        <v>-30671</v>
      </c>
      <c r="I12" s="29">
        <f t="shared" si="0"/>
        <v>-23583</v>
      </c>
      <c r="J12" s="29">
        <f t="shared" si="0"/>
        <v>-17979</v>
      </c>
      <c r="K12" s="29">
        <f t="shared" si="0"/>
        <v>-25460</v>
      </c>
      <c r="L12" s="29">
        <f t="shared" si="0"/>
        <v>-20672</v>
      </c>
      <c r="M12" s="29">
        <f t="shared" si="0"/>
        <v>-14143</v>
      </c>
      <c r="N12" s="29">
        <f t="shared" si="0"/>
        <v>-6541</v>
      </c>
      <c r="O12" s="29">
        <f t="shared" si="0"/>
        <v>-1525</v>
      </c>
      <c r="P12" s="29">
        <f t="shared" si="0"/>
        <v>-5248</v>
      </c>
    </row>
    <row r="13" spans="2:16" x14ac:dyDescent="0.25">
      <c r="B13" s="54"/>
      <c r="C13" s="57" t="s">
        <v>33</v>
      </c>
      <c r="D13" s="58"/>
      <c r="E13" s="27">
        <f>E11/$D$11</f>
        <v>4.6683907823866472E-2</v>
      </c>
      <c r="F13" s="27">
        <f t="shared" ref="F13:P13" si="1">F11/$D$11</f>
        <v>4.3928076435009004E-2</v>
      </c>
      <c r="G13" s="27">
        <f t="shared" si="1"/>
        <v>4.019773201015607E-2</v>
      </c>
      <c r="H13" s="27">
        <f t="shared" si="1"/>
        <v>3.4760349924106052E-2</v>
      </c>
      <c r="I13" s="27">
        <f t="shared" si="1"/>
        <v>3.057953476531379E-2</v>
      </c>
      <c r="J13" s="27">
        <f t="shared" si="1"/>
        <v>2.7392201697429036E-2</v>
      </c>
      <c r="K13" s="27">
        <f t="shared" si="1"/>
        <v>2.2878630313684346E-2</v>
      </c>
      <c r="L13" s="27">
        <f t="shared" si="1"/>
        <v>1.9213879817031942E-2</v>
      </c>
      <c r="M13" s="27">
        <f t="shared" si="1"/>
        <v>1.6706596231788377E-2</v>
      </c>
      <c r="N13" s="27">
        <f t="shared" si="1"/>
        <v>1.5547001949735196E-2</v>
      </c>
      <c r="O13" s="27">
        <f t="shared" si="1"/>
        <v>1.5276648597016789E-2</v>
      </c>
      <c r="P13" s="27">
        <f t="shared" si="1"/>
        <v>1.4346278501891409E-2</v>
      </c>
    </row>
    <row r="14" spans="2:16" x14ac:dyDescent="0.25">
      <c r="B14" s="67" t="s">
        <v>35</v>
      </c>
      <c r="C14" s="2" t="s">
        <v>30</v>
      </c>
      <c r="D14" s="2">
        <v>40</v>
      </c>
      <c r="E14" s="30">
        <v>14.72</v>
      </c>
      <c r="F14" s="31">
        <v>14.63</v>
      </c>
      <c r="G14" s="31">
        <v>14.59</v>
      </c>
      <c r="H14" s="31">
        <v>14.55</v>
      </c>
      <c r="I14" s="31">
        <v>14.48</v>
      </c>
      <c r="J14" s="31">
        <v>14.36</v>
      </c>
      <c r="K14" s="31">
        <v>14.19</v>
      </c>
      <c r="L14" s="31">
        <v>13.98</v>
      </c>
      <c r="M14" s="31">
        <v>13.05</v>
      </c>
      <c r="N14" s="31">
        <v>12.65</v>
      </c>
      <c r="O14" s="31">
        <v>11.85</v>
      </c>
      <c r="P14" s="31">
        <v>11.15</v>
      </c>
    </row>
    <row r="15" spans="2:16" x14ac:dyDescent="0.25">
      <c r="B15" s="68"/>
      <c r="C15" s="10" t="s">
        <v>31</v>
      </c>
      <c r="D15" s="15">
        <v>1849055</v>
      </c>
      <c r="E15" s="25">
        <v>71243</v>
      </c>
      <c r="F15" s="15">
        <v>69365</v>
      </c>
      <c r="G15" s="15">
        <v>68540</v>
      </c>
      <c r="H15" s="15">
        <v>67519</v>
      </c>
      <c r="I15" s="15">
        <v>66104</v>
      </c>
      <c r="J15" s="15">
        <v>63921</v>
      </c>
      <c r="K15" s="15">
        <v>60637</v>
      </c>
      <c r="L15" s="15">
        <v>56551</v>
      </c>
      <c r="M15" s="15">
        <v>41250</v>
      </c>
      <c r="N15" s="15">
        <v>35780</v>
      </c>
      <c r="O15" s="15">
        <v>26306</v>
      </c>
      <c r="P15" s="15">
        <v>19501</v>
      </c>
    </row>
    <row r="16" spans="2:16" x14ac:dyDescent="0.25">
      <c r="B16" s="68"/>
      <c r="C16" s="70" t="s">
        <v>32</v>
      </c>
      <c r="D16" s="71"/>
      <c r="E16" s="26">
        <v>-1483</v>
      </c>
      <c r="F16" s="9">
        <f>F15-E15</f>
        <v>-1878</v>
      </c>
      <c r="G16" s="9">
        <f t="shared" ref="G16:P16" si="2">G15-F15</f>
        <v>-825</v>
      </c>
      <c r="H16" s="9">
        <f t="shared" si="2"/>
        <v>-1021</v>
      </c>
      <c r="I16" s="9">
        <f t="shared" si="2"/>
        <v>-1415</v>
      </c>
      <c r="J16" s="9">
        <f t="shared" si="2"/>
        <v>-2183</v>
      </c>
      <c r="K16" s="9">
        <f t="shared" si="2"/>
        <v>-3284</v>
      </c>
      <c r="L16" s="9">
        <f t="shared" si="2"/>
        <v>-4086</v>
      </c>
      <c r="M16" s="9">
        <f t="shared" si="2"/>
        <v>-15301</v>
      </c>
      <c r="N16" s="9">
        <f t="shared" si="2"/>
        <v>-5470</v>
      </c>
      <c r="O16" s="9">
        <f t="shared" si="2"/>
        <v>-9474</v>
      </c>
      <c r="P16" s="9">
        <f t="shared" si="2"/>
        <v>-6805</v>
      </c>
    </row>
    <row r="17" spans="2:16" x14ac:dyDescent="0.25">
      <c r="B17" s="69"/>
      <c r="C17" s="72" t="s">
        <v>33</v>
      </c>
      <c r="D17" s="73"/>
      <c r="E17" s="32">
        <f>E15/$D$15</f>
        <v>3.8529410969387064E-2</v>
      </c>
      <c r="F17" s="32">
        <f t="shared" ref="F17:P17" si="3">F15/$D$15</f>
        <v>3.7513757027238241E-2</v>
      </c>
      <c r="G17" s="32">
        <f t="shared" si="3"/>
        <v>3.7067583170862957E-2</v>
      </c>
      <c r="H17" s="32">
        <f t="shared" si="3"/>
        <v>3.6515409222548818E-2</v>
      </c>
      <c r="I17" s="32">
        <f t="shared" si="3"/>
        <v>3.575015345676575E-2</v>
      </c>
      <c r="J17" s="32">
        <f t="shared" si="3"/>
        <v>3.4569550391956971E-2</v>
      </c>
      <c r="K17" s="32">
        <f t="shared" si="3"/>
        <v>3.2793508035185541E-2</v>
      </c>
      <c r="L17" s="32">
        <f t="shared" si="3"/>
        <v>3.0583730608337772E-2</v>
      </c>
      <c r="M17" s="32">
        <f t="shared" si="3"/>
        <v>2.2308692818764179E-2</v>
      </c>
      <c r="N17" s="32">
        <f t="shared" si="3"/>
        <v>1.9350424946797149E-2</v>
      </c>
      <c r="O17" s="32">
        <f t="shared" si="3"/>
        <v>1.4226726625222072E-2</v>
      </c>
      <c r="P17" s="32">
        <f t="shared" si="3"/>
        <v>1.0546468331120492E-2</v>
      </c>
    </row>
    <row r="18" spans="2:16" x14ac:dyDescent="0.25">
      <c r="B18" s="52" t="s">
        <v>36</v>
      </c>
      <c r="C18" s="11" t="s">
        <v>30</v>
      </c>
      <c r="D18" s="11">
        <v>42</v>
      </c>
      <c r="E18" s="35">
        <v>32.950000000000003</v>
      </c>
      <c r="F18" s="36">
        <v>32.47</v>
      </c>
      <c r="G18" s="36">
        <v>32.29</v>
      </c>
      <c r="H18" s="36">
        <v>31.85</v>
      </c>
      <c r="I18" s="36">
        <v>31.31</v>
      </c>
      <c r="J18" s="36">
        <v>30.92</v>
      </c>
      <c r="K18" s="36">
        <v>30.25</v>
      </c>
      <c r="L18" s="36">
        <v>29.57</v>
      </c>
      <c r="M18" s="36">
        <v>29.05</v>
      </c>
      <c r="N18" s="36">
        <v>28.6</v>
      </c>
      <c r="O18" s="36">
        <v>28.4</v>
      </c>
      <c r="P18" s="36">
        <v>28.2</v>
      </c>
    </row>
    <row r="19" spans="2:16" x14ac:dyDescent="0.25">
      <c r="B19" s="53"/>
      <c r="C19" s="3" t="s">
        <v>31</v>
      </c>
      <c r="D19" s="6">
        <v>1348707</v>
      </c>
      <c r="E19" s="24">
        <v>712930</v>
      </c>
      <c r="F19" s="6">
        <v>683987</v>
      </c>
      <c r="G19" s="6">
        <v>673323</v>
      </c>
      <c r="H19" s="6">
        <v>647154</v>
      </c>
      <c r="I19" s="6">
        <v>617306</v>
      </c>
      <c r="J19" s="6">
        <v>595501</v>
      </c>
      <c r="K19" s="6">
        <v>560745</v>
      </c>
      <c r="L19" s="6">
        <v>526452</v>
      </c>
      <c r="M19" s="6">
        <v>500806</v>
      </c>
      <c r="N19" s="6">
        <v>479718</v>
      </c>
      <c r="O19" s="6">
        <v>470986</v>
      </c>
      <c r="P19" s="6">
        <v>461899</v>
      </c>
    </row>
    <row r="20" spans="2:16" x14ac:dyDescent="0.25">
      <c r="B20" s="53"/>
      <c r="C20" s="55" t="s">
        <v>32</v>
      </c>
      <c r="D20" s="56"/>
      <c r="E20" s="28">
        <v>-29550</v>
      </c>
      <c r="F20" s="29">
        <f>F19-E19</f>
        <v>-28943</v>
      </c>
      <c r="G20" s="29">
        <f t="shared" ref="G20:P20" si="4">G19-F19</f>
        <v>-10664</v>
      </c>
      <c r="H20" s="29">
        <f t="shared" si="4"/>
        <v>-26169</v>
      </c>
      <c r="I20" s="29">
        <f t="shared" si="4"/>
        <v>-29848</v>
      </c>
      <c r="J20" s="29">
        <f t="shared" si="4"/>
        <v>-21805</v>
      </c>
      <c r="K20" s="29">
        <f t="shared" si="4"/>
        <v>-34756</v>
      </c>
      <c r="L20" s="29">
        <f t="shared" si="4"/>
        <v>-34293</v>
      </c>
      <c r="M20" s="29">
        <f t="shared" si="4"/>
        <v>-25646</v>
      </c>
      <c r="N20" s="29">
        <f t="shared" si="4"/>
        <v>-21088</v>
      </c>
      <c r="O20" s="29">
        <f t="shared" si="4"/>
        <v>-8732</v>
      </c>
      <c r="P20" s="29">
        <f t="shared" si="4"/>
        <v>-9087</v>
      </c>
    </row>
    <row r="21" spans="2:16" x14ac:dyDescent="0.25">
      <c r="B21" s="54"/>
      <c r="C21" s="57" t="s">
        <v>33</v>
      </c>
      <c r="D21" s="58"/>
      <c r="E21" s="27">
        <f>E19/$D$19</f>
        <v>0.52860258010079286</v>
      </c>
      <c r="F21" s="27">
        <f t="shared" ref="F21:P21" si="5">F19/$D$19</f>
        <v>0.50714276710953532</v>
      </c>
      <c r="G21" s="27">
        <f t="shared" si="5"/>
        <v>0.49923593486205675</v>
      </c>
      <c r="H21" s="27">
        <f t="shared" si="5"/>
        <v>0.47983290662834849</v>
      </c>
      <c r="I21" s="27">
        <f t="shared" si="5"/>
        <v>0.45770208058533096</v>
      </c>
      <c r="J21" s="27">
        <f t="shared" si="5"/>
        <v>0.44153474401778892</v>
      </c>
      <c r="K21" s="27">
        <f t="shared" si="5"/>
        <v>0.41576487702666332</v>
      </c>
      <c r="L21" s="27">
        <f t="shared" si="5"/>
        <v>0.39033830179571988</v>
      </c>
      <c r="M21" s="27">
        <f t="shared" si="5"/>
        <v>0.37132305237534913</v>
      </c>
      <c r="N21" s="27">
        <f t="shared" si="5"/>
        <v>0.35568733609301351</v>
      </c>
      <c r="O21" s="27">
        <f t="shared" si="5"/>
        <v>0.34921298695713748</v>
      </c>
      <c r="P21" s="27">
        <f t="shared" si="5"/>
        <v>0.34247542275675891</v>
      </c>
    </row>
    <row r="22" spans="2:16" x14ac:dyDescent="0.25">
      <c r="B22" s="67" t="s">
        <v>37</v>
      </c>
      <c r="C22" s="2" t="s">
        <v>30</v>
      </c>
      <c r="D22" s="2">
        <v>35</v>
      </c>
      <c r="E22" s="30">
        <v>26.94</v>
      </c>
      <c r="F22" s="31">
        <v>26.82</v>
      </c>
      <c r="G22" s="31">
        <v>26.71</v>
      </c>
      <c r="H22" s="31">
        <v>26.51</v>
      </c>
      <c r="I22" s="31">
        <v>24.83</v>
      </c>
      <c r="J22" s="31">
        <v>24.48</v>
      </c>
      <c r="K22" s="31">
        <v>23.98</v>
      </c>
      <c r="L22" s="31">
        <v>23.26</v>
      </c>
      <c r="M22" s="31">
        <v>22.74</v>
      </c>
      <c r="N22" s="31">
        <v>22.23</v>
      </c>
      <c r="O22" s="31">
        <v>21.82</v>
      </c>
      <c r="P22" s="31">
        <v>21.71</v>
      </c>
    </row>
    <row r="23" spans="2:16" x14ac:dyDescent="0.25">
      <c r="B23" s="68"/>
      <c r="C23" s="10" t="s">
        <v>31</v>
      </c>
      <c r="D23" s="15">
        <v>759685</v>
      </c>
      <c r="E23" s="25">
        <v>303742</v>
      </c>
      <c r="F23" s="15">
        <v>299275</v>
      </c>
      <c r="G23" s="15">
        <v>294847</v>
      </c>
      <c r="H23" s="15">
        <v>286499</v>
      </c>
      <c r="I23" s="15">
        <v>225085</v>
      </c>
      <c r="J23" s="15">
        <v>213306</v>
      </c>
      <c r="K23" s="15">
        <v>197141</v>
      </c>
      <c r="L23" s="15">
        <v>174973</v>
      </c>
      <c r="M23" s="15">
        <v>160541</v>
      </c>
      <c r="N23" s="15">
        <v>146967</v>
      </c>
      <c r="O23" s="15">
        <v>136651</v>
      </c>
      <c r="P23" s="15">
        <v>133975</v>
      </c>
    </row>
    <row r="24" spans="2:16" x14ac:dyDescent="0.25">
      <c r="B24" s="68"/>
      <c r="C24" s="70" t="s">
        <v>32</v>
      </c>
      <c r="D24" s="71"/>
      <c r="E24" s="26">
        <v>-4916</v>
      </c>
      <c r="F24" s="9">
        <f>F23-E23</f>
        <v>-4467</v>
      </c>
      <c r="G24" s="9">
        <f t="shared" ref="G24:P24" si="6">G23-F23</f>
        <v>-4428</v>
      </c>
      <c r="H24" s="9">
        <f t="shared" si="6"/>
        <v>-8348</v>
      </c>
      <c r="I24" s="9">
        <f t="shared" si="6"/>
        <v>-61414</v>
      </c>
      <c r="J24" s="9">
        <f t="shared" si="6"/>
        <v>-11779</v>
      </c>
      <c r="K24" s="9">
        <f t="shared" si="6"/>
        <v>-16165</v>
      </c>
      <c r="L24" s="9">
        <f t="shared" si="6"/>
        <v>-22168</v>
      </c>
      <c r="M24" s="9">
        <f t="shared" si="6"/>
        <v>-14432</v>
      </c>
      <c r="N24" s="9">
        <f t="shared" si="6"/>
        <v>-13574</v>
      </c>
      <c r="O24" s="9">
        <f t="shared" si="6"/>
        <v>-10316</v>
      </c>
      <c r="P24" s="9">
        <f t="shared" si="6"/>
        <v>-2676</v>
      </c>
    </row>
    <row r="25" spans="2:16" x14ac:dyDescent="0.25">
      <c r="B25" s="69"/>
      <c r="C25" s="72" t="s">
        <v>33</v>
      </c>
      <c r="D25" s="73"/>
      <c r="E25" s="32">
        <f>E23/$D$23</f>
        <v>0.39982624377208975</v>
      </c>
      <c r="F25" s="32">
        <f t="shared" ref="F25:P25" si="7">F23/$D$23</f>
        <v>0.39394617505939961</v>
      </c>
      <c r="G25" s="32">
        <f t="shared" si="7"/>
        <v>0.38811744341404664</v>
      </c>
      <c r="H25" s="32">
        <f t="shared" si="7"/>
        <v>0.37712867833378311</v>
      </c>
      <c r="I25" s="32">
        <f t="shared" si="7"/>
        <v>0.29628727696347829</v>
      </c>
      <c r="J25" s="32">
        <f t="shared" si="7"/>
        <v>0.2807821662926081</v>
      </c>
      <c r="K25" s="32">
        <f t="shared" si="7"/>
        <v>0.25950361004890182</v>
      </c>
      <c r="L25" s="32">
        <f t="shared" si="7"/>
        <v>0.23032309444045887</v>
      </c>
      <c r="M25" s="32">
        <f t="shared" si="7"/>
        <v>0.21132574685560462</v>
      </c>
      <c r="N25" s="32">
        <f t="shared" si="7"/>
        <v>0.19345781475216703</v>
      </c>
      <c r="O25" s="32">
        <f t="shared" si="7"/>
        <v>0.17987850227396882</v>
      </c>
      <c r="P25" s="32">
        <f t="shared" si="7"/>
        <v>0.17635598965360644</v>
      </c>
    </row>
    <row r="26" spans="2:16" x14ac:dyDescent="0.25">
      <c r="B26" s="52" t="s">
        <v>38</v>
      </c>
      <c r="C26" s="11" t="s">
        <v>30</v>
      </c>
      <c r="D26" s="11">
        <v>25</v>
      </c>
      <c r="E26" s="35">
        <v>12.85</v>
      </c>
      <c r="F26" s="36">
        <v>12.5</v>
      </c>
      <c r="G26" s="36">
        <v>12.1</v>
      </c>
      <c r="H26" s="36">
        <v>11.8</v>
      </c>
      <c r="I26" s="36">
        <v>11.2</v>
      </c>
      <c r="J26" s="36">
        <v>10.7</v>
      </c>
      <c r="K26" s="36">
        <v>9.9</v>
      </c>
      <c r="L26" s="36">
        <v>9.1999999999999993</v>
      </c>
      <c r="M26" s="36">
        <v>8.6</v>
      </c>
      <c r="N26" s="36">
        <v>8.1999999999999993</v>
      </c>
      <c r="O26" s="36">
        <v>7.85</v>
      </c>
      <c r="P26" s="36">
        <v>7.55</v>
      </c>
    </row>
    <row r="27" spans="2:16" x14ac:dyDescent="0.25">
      <c r="B27" s="53"/>
      <c r="C27" s="3" t="s">
        <v>31</v>
      </c>
      <c r="D27" s="6">
        <v>396884</v>
      </c>
      <c r="E27" s="24">
        <v>52153</v>
      </c>
      <c r="F27" s="6">
        <v>48342</v>
      </c>
      <c r="G27" s="6">
        <v>44270</v>
      </c>
      <c r="H27" s="6">
        <v>41400</v>
      </c>
      <c r="I27" s="6">
        <v>36077</v>
      </c>
      <c r="J27" s="6">
        <v>32019</v>
      </c>
      <c r="K27" s="6">
        <v>26214</v>
      </c>
      <c r="L27" s="6">
        <v>21754</v>
      </c>
      <c r="M27" s="6">
        <v>18313</v>
      </c>
      <c r="N27" s="6">
        <v>16192</v>
      </c>
      <c r="O27" s="6">
        <v>14442</v>
      </c>
      <c r="P27" s="6">
        <v>13030</v>
      </c>
    </row>
    <row r="28" spans="2:16" x14ac:dyDescent="0.25">
      <c r="B28" s="53"/>
      <c r="C28" s="55" t="s">
        <v>32</v>
      </c>
      <c r="D28" s="56"/>
      <c r="E28" s="28">
        <v>-6484</v>
      </c>
      <c r="F28" s="29">
        <f>F27-E27</f>
        <v>-3811</v>
      </c>
      <c r="G28" s="29">
        <f t="shared" ref="G28:P28" si="8">G27-F27</f>
        <v>-4072</v>
      </c>
      <c r="H28" s="29">
        <f t="shared" si="8"/>
        <v>-2870</v>
      </c>
      <c r="I28" s="29">
        <f t="shared" si="8"/>
        <v>-5323</v>
      </c>
      <c r="J28" s="29">
        <f t="shared" si="8"/>
        <v>-4058</v>
      </c>
      <c r="K28" s="29">
        <f t="shared" si="8"/>
        <v>-5805</v>
      </c>
      <c r="L28" s="29">
        <f t="shared" si="8"/>
        <v>-4460</v>
      </c>
      <c r="M28" s="29">
        <f t="shared" si="8"/>
        <v>-3441</v>
      </c>
      <c r="N28" s="29">
        <f t="shared" si="8"/>
        <v>-2121</v>
      </c>
      <c r="O28" s="29">
        <f t="shared" si="8"/>
        <v>-1750</v>
      </c>
      <c r="P28" s="29">
        <f t="shared" si="8"/>
        <v>-1412</v>
      </c>
    </row>
    <row r="29" spans="2:16" x14ac:dyDescent="0.25">
      <c r="B29" s="54"/>
      <c r="C29" s="57" t="s">
        <v>33</v>
      </c>
      <c r="D29" s="58"/>
      <c r="E29" s="27">
        <f>E27/$D$27</f>
        <v>0.13140615393918625</v>
      </c>
      <c r="F29" s="27">
        <f t="shared" ref="F29:P29" si="9">F27/$D$27</f>
        <v>0.12180385200713559</v>
      </c>
      <c r="G29" s="27">
        <f t="shared" si="9"/>
        <v>0.11154392719283217</v>
      </c>
      <c r="H29" s="27">
        <f t="shared" si="9"/>
        <v>0.10431259511595328</v>
      </c>
      <c r="I29" s="27">
        <f t="shared" si="9"/>
        <v>9.0900615797059089E-2</v>
      </c>
      <c r="J29" s="27">
        <f t="shared" si="9"/>
        <v>8.0675965773374589E-2</v>
      </c>
      <c r="K29" s="27">
        <f t="shared" si="9"/>
        <v>6.6049525806028964E-2</v>
      </c>
      <c r="L29" s="27">
        <f t="shared" si="9"/>
        <v>5.4811985366001147E-2</v>
      </c>
      <c r="M29" s="27">
        <f t="shared" si="9"/>
        <v>4.6141945757450537E-2</v>
      </c>
      <c r="N29" s="27">
        <f t="shared" si="9"/>
        <v>4.0797814978683948E-2</v>
      </c>
      <c r="O29" s="27">
        <f t="shared" si="9"/>
        <v>3.6388466151318771E-2</v>
      </c>
      <c r="P29" s="27">
        <f t="shared" si="9"/>
        <v>3.2830751554610418E-2</v>
      </c>
    </row>
    <row r="30" spans="2:16" x14ac:dyDescent="0.25">
      <c r="B30" s="67" t="s">
        <v>39</v>
      </c>
      <c r="C30" s="2" t="s">
        <v>30</v>
      </c>
      <c r="D30" s="2">
        <v>32</v>
      </c>
      <c r="E30" s="30">
        <v>5.82</v>
      </c>
      <c r="F30" s="31">
        <v>5.82</v>
      </c>
      <c r="G30" s="31">
        <v>5.82</v>
      </c>
      <c r="H30" s="31">
        <v>5.55</v>
      </c>
      <c r="I30" s="31">
        <v>0</v>
      </c>
      <c r="J30" s="31"/>
      <c r="K30" s="31"/>
      <c r="L30" s="31"/>
      <c r="M30" s="31"/>
      <c r="N30" s="31">
        <v>5.55</v>
      </c>
      <c r="O30" s="31">
        <v>5.55</v>
      </c>
      <c r="P30" s="31">
        <v>5.55</v>
      </c>
    </row>
    <row r="31" spans="2:16" x14ac:dyDescent="0.25">
      <c r="B31" s="68"/>
      <c r="C31" s="10" t="s">
        <v>31</v>
      </c>
      <c r="D31" s="15">
        <v>327894</v>
      </c>
      <c r="E31" s="25">
        <v>1010</v>
      </c>
      <c r="F31" s="15">
        <v>1010</v>
      </c>
      <c r="G31" s="15">
        <v>1010</v>
      </c>
      <c r="H31" s="15">
        <v>624</v>
      </c>
      <c r="I31" s="15">
        <v>0</v>
      </c>
      <c r="J31" s="15">
        <v>0</v>
      </c>
      <c r="K31" s="15">
        <v>0</v>
      </c>
      <c r="L31" s="15">
        <v>0</v>
      </c>
      <c r="M31" s="15">
        <v>0</v>
      </c>
      <c r="N31" s="15">
        <v>624</v>
      </c>
      <c r="O31" s="15">
        <v>624</v>
      </c>
      <c r="P31" s="15">
        <v>624</v>
      </c>
    </row>
    <row r="32" spans="2:16" x14ac:dyDescent="0.25">
      <c r="B32" s="68"/>
      <c r="C32" s="70" t="s">
        <v>32</v>
      </c>
      <c r="D32" s="71"/>
      <c r="E32" s="26">
        <v>0</v>
      </c>
      <c r="F32" s="9">
        <f>F31-E31</f>
        <v>0</v>
      </c>
      <c r="G32" s="9">
        <f t="shared" ref="G32:P32" si="10">G31-F31</f>
        <v>0</v>
      </c>
      <c r="H32" s="9">
        <f t="shared" si="10"/>
        <v>-386</v>
      </c>
      <c r="I32" s="9">
        <f t="shared" si="10"/>
        <v>-624</v>
      </c>
      <c r="J32" s="9">
        <f t="shared" si="10"/>
        <v>0</v>
      </c>
      <c r="K32" s="9">
        <f t="shared" si="10"/>
        <v>0</v>
      </c>
      <c r="L32" s="9">
        <f t="shared" si="10"/>
        <v>0</v>
      </c>
      <c r="M32" s="9">
        <f t="shared" si="10"/>
        <v>0</v>
      </c>
      <c r="N32" s="9">
        <f t="shared" si="10"/>
        <v>624</v>
      </c>
      <c r="O32" s="9">
        <f t="shared" si="10"/>
        <v>0</v>
      </c>
      <c r="P32" s="9">
        <f t="shared" si="10"/>
        <v>0</v>
      </c>
    </row>
    <row r="33" spans="2:16" x14ac:dyDescent="0.25">
      <c r="B33" s="69"/>
      <c r="C33" s="72" t="s">
        <v>33</v>
      </c>
      <c r="D33" s="73"/>
      <c r="E33" s="32">
        <f>E31/$D$31</f>
        <v>3.0802637437708528E-3</v>
      </c>
      <c r="F33" s="32">
        <f t="shared" ref="F33:P33" si="11">F31/$D$31</f>
        <v>3.0802637437708528E-3</v>
      </c>
      <c r="G33" s="32">
        <f t="shared" si="11"/>
        <v>3.0802637437708528E-3</v>
      </c>
      <c r="H33" s="32">
        <f t="shared" si="11"/>
        <v>1.9030540357554576E-3</v>
      </c>
      <c r="I33" s="32">
        <f t="shared" si="11"/>
        <v>0</v>
      </c>
      <c r="J33" s="32">
        <f t="shared" si="11"/>
        <v>0</v>
      </c>
      <c r="K33" s="32">
        <f t="shared" si="11"/>
        <v>0</v>
      </c>
      <c r="L33" s="32">
        <f t="shared" si="11"/>
        <v>0</v>
      </c>
      <c r="M33" s="32">
        <f t="shared" si="11"/>
        <v>0</v>
      </c>
      <c r="N33" s="32">
        <f t="shared" si="11"/>
        <v>1.9030540357554576E-3</v>
      </c>
      <c r="O33" s="32">
        <f t="shared" si="11"/>
        <v>1.9030540357554576E-3</v>
      </c>
      <c r="P33" s="32">
        <f t="shared" si="11"/>
        <v>1.9030540357554576E-3</v>
      </c>
    </row>
    <row r="34" spans="2:16" x14ac:dyDescent="0.25">
      <c r="B34" s="52" t="s">
        <v>40</v>
      </c>
      <c r="C34" s="11" t="s">
        <v>30</v>
      </c>
      <c r="D34" s="11">
        <v>35</v>
      </c>
      <c r="E34" s="35">
        <v>18.02</v>
      </c>
      <c r="F34" s="36">
        <v>16.899999999999999</v>
      </c>
      <c r="G34" s="36">
        <v>16.2</v>
      </c>
      <c r="H34" s="36">
        <v>14.68</v>
      </c>
      <c r="I34" s="36">
        <v>12.9</v>
      </c>
      <c r="J34" s="36">
        <v>10.6</v>
      </c>
      <c r="K34" s="36">
        <v>7.6</v>
      </c>
      <c r="L34" s="36">
        <v>5.75</v>
      </c>
      <c r="M34" s="36"/>
      <c r="N34" s="36">
        <v>3.45</v>
      </c>
      <c r="O34" s="36">
        <v>3.85</v>
      </c>
      <c r="P34" s="36">
        <v>3.85</v>
      </c>
    </row>
    <row r="35" spans="2:16" x14ac:dyDescent="0.25">
      <c r="B35" s="53"/>
      <c r="C35" s="3" t="s">
        <v>31</v>
      </c>
      <c r="D35" s="6">
        <v>267041</v>
      </c>
      <c r="E35" s="24">
        <v>39507</v>
      </c>
      <c r="F35" s="6">
        <v>33253</v>
      </c>
      <c r="G35" s="6">
        <v>29807</v>
      </c>
      <c r="H35" s="6">
        <v>23230</v>
      </c>
      <c r="I35" s="6">
        <v>16724</v>
      </c>
      <c r="J35" s="6">
        <v>9859</v>
      </c>
      <c r="K35" s="6">
        <v>3583</v>
      </c>
      <c r="L35" s="37">
        <v>1333</v>
      </c>
      <c r="M35" s="6">
        <v>0</v>
      </c>
      <c r="N35" s="6">
        <v>0</v>
      </c>
      <c r="O35" s="6">
        <v>61</v>
      </c>
      <c r="P35" s="6">
        <v>61</v>
      </c>
    </row>
    <row r="36" spans="2:16" x14ac:dyDescent="0.25">
      <c r="B36" s="53"/>
      <c r="C36" s="55" t="s">
        <v>32</v>
      </c>
      <c r="D36" s="56"/>
      <c r="E36" s="28">
        <v>-4956</v>
      </c>
      <c r="F36" s="29">
        <f>F35-E35</f>
        <v>-6254</v>
      </c>
      <c r="G36" s="29">
        <f t="shared" ref="G36:P36" si="12">G35-F35</f>
        <v>-3446</v>
      </c>
      <c r="H36" s="29">
        <f t="shared" si="12"/>
        <v>-6577</v>
      </c>
      <c r="I36" s="29">
        <f t="shared" si="12"/>
        <v>-6506</v>
      </c>
      <c r="J36" s="29">
        <f t="shared" si="12"/>
        <v>-6865</v>
      </c>
      <c r="K36" s="29">
        <f t="shared" si="12"/>
        <v>-6276</v>
      </c>
      <c r="L36" s="29">
        <f t="shared" si="12"/>
        <v>-2250</v>
      </c>
      <c r="M36" s="29">
        <f t="shared" si="12"/>
        <v>-1333</v>
      </c>
      <c r="N36" s="29">
        <f t="shared" si="12"/>
        <v>0</v>
      </c>
      <c r="O36" s="29">
        <f t="shared" si="12"/>
        <v>61</v>
      </c>
      <c r="P36" s="29">
        <f t="shared" si="12"/>
        <v>0</v>
      </c>
    </row>
    <row r="37" spans="2:16" x14ac:dyDescent="0.25">
      <c r="B37" s="54"/>
      <c r="C37" s="57" t="s">
        <v>33</v>
      </c>
      <c r="D37" s="58"/>
      <c r="E37" s="27">
        <f>E35/$D$35</f>
        <v>0.14794357420770593</v>
      </c>
      <c r="F37" s="27">
        <f t="shared" ref="F37:P37" si="13">F35/$D$35</f>
        <v>0.12452394950588112</v>
      </c>
      <c r="G37" s="27">
        <f t="shared" si="13"/>
        <v>0.11161956403698309</v>
      </c>
      <c r="H37" s="27">
        <f t="shared" si="13"/>
        <v>8.699038724390637E-2</v>
      </c>
      <c r="I37" s="27">
        <f t="shared" si="13"/>
        <v>6.2627087226306069E-2</v>
      </c>
      <c r="J37" s="27">
        <f t="shared" si="13"/>
        <v>3.6919424358057375E-2</v>
      </c>
      <c r="K37" s="27">
        <f t="shared" si="13"/>
        <v>1.3417415303268038E-2</v>
      </c>
      <c r="L37" s="27">
        <f t="shared" si="13"/>
        <v>4.9917428409869645E-3</v>
      </c>
      <c r="M37" s="27">
        <f t="shared" si="13"/>
        <v>0</v>
      </c>
      <c r="N37" s="27">
        <f t="shared" si="13"/>
        <v>0</v>
      </c>
      <c r="O37" s="27">
        <f t="shared" si="13"/>
        <v>2.2842934231073132E-4</v>
      </c>
      <c r="P37" s="27">
        <f t="shared" si="13"/>
        <v>2.2842934231073132E-4</v>
      </c>
    </row>
    <row r="38" spans="2:16" x14ac:dyDescent="0.25">
      <c r="B38" s="7" t="s">
        <v>41</v>
      </c>
      <c r="C38" s="2"/>
      <c r="D38" s="9">
        <f>D11+D15+D19+D23+D27+D31+D35</f>
        <v>10590032</v>
      </c>
      <c r="E38" s="26">
        <f>E11+E15+E19+E23+E27+E31+E35</f>
        <v>1443918</v>
      </c>
      <c r="F38" s="26">
        <f t="shared" ref="F38:P38" si="14">F11+F15+F19+F23+F27+F31+F35</f>
        <v>1383020</v>
      </c>
      <c r="G38" s="26">
        <f t="shared" si="14"/>
        <v>1338543</v>
      </c>
      <c r="H38" s="26">
        <f t="shared" si="14"/>
        <v>1262501</v>
      </c>
      <c r="I38" s="26">
        <f t="shared" si="14"/>
        <v>1133788</v>
      </c>
      <c r="J38" s="26">
        <f t="shared" si="14"/>
        <v>1069119</v>
      </c>
      <c r="K38" s="26">
        <f t="shared" si="14"/>
        <v>977373</v>
      </c>
      <c r="L38" s="26">
        <f t="shared" si="14"/>
        <v>889444</v>
      </c>
      <c r="M38" s="26">
        <f t="shared" si="14"/>
        <v>815148</v>
      </c>
      <c r="N38" s="26">
        <f t="shared" si="14"/>
        <v>766978</v>
      </c>
      <c r="O38" s="26">
        <f t="shared" si="14"/>
        <v>735242</v>
      </c>
      <c r="P38" s="26">
        <f t="shared" si="14"/>
        <v>710014</v>
      </c>
    </row>
    <row r="39" spans="2:16" x14ac:dyDescent="0.25">
      <c r="B39" s="12" t="s">
        <v>42</v>
      </c>
      <c r="C39" s="10"/>
      <c r="D39" s="10"/>
      <c r="E39" s="25">
        <v>-66658</v>
      </c>
      <c r="F39" s="15">
        <f>F38-E38</f>
        <v>-60898</v>
      </c>
      <c r="G39" s="15">
        <f t="shared" ref="G39:P39" si="15">G38-F38</f>
        <v>-44477</v>
      </c>
      <c r="H39" s="15">
        <f t="shared" si="15"/>
        <v>-76042</v>
      </c>
      <c r="I39" s="15">
        <f t="shared" si="15"/>
        <v>-128713</v>
      </c>
      <c r="J39" s="15">
        <f t="shared" si="15"/>
        <v>-64669</v>
      </c>
      <c r="K39" s="15">
        <f t="shared" si="15"/>
        <v>-91746</v>
      </c>
      <c r="L39" s="15">
        <f t="shared" si="15"/>
        <v>-87929</v>
      </c>
      <c r="M39" s="15">
        <f t="shared" si="15"/>
        <v>-74296</v>
      </c>
      <c r="N39" s="15">
        <f t="shared" si="15"/>
        <v>-48170</v>
      </c>
      <c r="O39" s="15">
        <f t="shared" si="15"/>
        <v>-31736</v>
      </c>
      <c r="P39" s="15">
        <f t="shared" si="15"/>
        <v>-25228</v>
      </c>
    </row>
    <row r="40" spans="2:16" x14ac:dyDescent="0.25">
      <c r="B40" s="7" t="s">
        <v>43</v>
      </c>
      <c r="C40" s="2"/>
      <c r="D40" s="2"/>
      <c r="E40" s="33">
        <f>E38/$D$38</f>
        <v>0.13634689677991529</v>
      </c>
      <c r="F40" s="33">
        <f t="shared" ref="F40:P40" si="16">F38/$D$38</f>
        <v>0.13059639479842933</v>
      </c>
      <c r="G40" s="33">
        <f t="shared" si="16"/>
        <v>0.12639650191803009</v>
      </c>
      <c r="H40" s="33">
        <f t="shared" si="16"/>
        <v>0.11921597592906234</v>
      </c>
      <c r="I40" s="33">
        <f t="shared" si="16"/>
        <v>0.10706181057809835</v>
      </c>
      <c r="J40" s="33">
        <f t="shared" si="16"/>
        <v>0.10095521902105678</v>
      </c>
      <c r="K40" s="33">
        <f t="shared" si="16"/>
        <v>9.2291789108852551E-2</v>
      </c>
      <c r="L40" s="33">
        <f t="shared" si="16"/>
        <v>8.398879247956946E-2</v>
      </c>
      <c r="M40" s="33">
        <f t="shared" si="16"/>
        <v>7.6973138513651326E-2</v>
      </c>
      <c r="N40" s="33">
        <f t="shared" si="16"/>
        <v>7.2424521474533793E-2</v>
      </c>
      <c r="O40" s="33">
        <f t="shared" si="16"/>
        <v>6.9427741105975882E-2</v>
      </c>
      <c r="P40" s="33">
        <f t="shared" si="16"/>
        <v>6.7045500901224853E-2</v>
      </c>
    </row>
    <row r="42" spans="2:16" ht="15.75" thickBot="1" x14ac:dyDescent="0.3">
      <c r="B42" s="82" t="s">
        <v>45</v>
      </c>
      <c r="C42" s="82"/>
      <c r="D42" s="82"/>
      <c r="E42" s="4" t="s">
        <v>18</v>
      </c>
      <c r="F42" s="5" t="s">
        <v>19</v>
      </c>
      <c r="G42" s="5" t="s">
        <v>20</v>
      </c>
      <c r="H42" s="5" t="s">
        <v>21</v>
      </c>
      <c r="I42" s="5" t="s">
        <v>22</v>
      </c>
      <c r="J42" s="5" t="s">
        <v>23</v>
      </c>
      <c r="K42" s="5" t="s">
        <v>24</v>
      </c>
      <c r="L42" s="5" t="s">
        <v>25</v>
      </c>
      <c r="M42" s="5" t="s">
        <v>26</v>
      </c>
      <c r="N42" s="5" t="s">
        <v>27</v>
      </c>
      <c r="O42" s="5" t="s">
        <v>28</v>
      </c>
      <c r="P42" s="5" t="s">
        <v>44</v>
      </c>
    </row>
    <row r="43" spans="2:16" ht="15.75" thickTop="1" x14ac:dyDescent="0.25">
      <c r="B43" s="60" t="s">
        <v>46</v>
      </c>
      <c r="C43" s="16" t="s">
        <v>30</v>
      </c>
      <c r="D43" s="16">
        <v>120</v>
      </c>
      <c r="E43" s="17"/>
      <c r="F43" s="18"/>
      <c r="G43" s="18"/>
      <c r="H43" s="18"/>
      <c r="I43" s="18"/>
      <c r="J43" s="18"/>
      <c r="K43" s="18"/>
      <c r="L43" s="18"/>
      <c r="M43" s="18"/>
      <c r="N43" s="18"/>
      <c r="O43" s="18"/>
      <c r="P43" s="18"/>
    </row>
    <row r="44" spans="2:16" x14ac:dyDescent="0.25">
      <c r="B44" s="61"/>
      <c r="C44" s="1" t="s">
        <v>31</v>
      </c>
      <c r="D44" s="6">
        <v>13014589</v>
      </c>
      <c r="E44" s="19" t="s">
        <v>47</v>
      </c>
      <c r="F44" s="20" t="s">
        <v>47</v>
      </c>
      <c r="G44" s="20" t="s">
        <v>47</v>
      </c>
      <c r="H44" s="20" t="s">
        <v>47</v>
      </c>
      <c r="I44" s="20" t="s">
        <v>47</v>
      </c>
      <c r="J44" s="20" t="s">
        <v>47</v>
      </c>
      <c r="K44" s="20" t="s">
        <v>47</v>
      </c>
      <c r="L44" s="20" t="s">
        <v>47</v>
      </c>
      <c r="M44" s="20" t="s">
        <v>47</v>
      </c>
      <c r="N44" s="20" t="s">
        <v>47</v>
      </c>
      <c r="O44" s="20" t="s">
        <v>47</v>
      </c>
      <c r="P44" s="20" t="s">
        <v>47</v>
      </c>
    </row>
    <row r="45" spans="2:16" x14ac:dyDescent="0.25">
      <c r="B45" s="61"/>
      <c r="C45" s="55" t="s">
        <v>32</v>
      </c>
      <c r="D45" s="56"/>
      <c r="E45" s="21" t="s">
        <v>47</v>
      </c>
      <c r="F45" s="21" t="s">
        <v>47</v>
      </c>
      <c r="G45" s="21" t="s">
        <v>47</v>
      </c>
      <c r="H45" s="21" t="s">
        <v>47</v>
      </c>
      <c r="I45" s="21" t="s">
        <v>47</v>
      </c>
      <c r="J45" s="21" t="s">
        <v>47</v>
      </c>
      <c r="K45" s="21" t="s">
        <v>47</v>
      </c>
      <c r="L45" s="21" t="s">
        <v>47</v>
      </c>
      <c r="M45" s="21" t="s">
        <v>47</v>
      </c>
      <c r="N45" s="21" t="s">
        <v>47</v>
      </c>
      <c r="O45" s="21" t="s">
        <v>47</v>
      </c>
      <c r="P45" s="21" t="s">
        <v>47</v>
      </c>
    </row>
    <row r="46" spans="2:16" x14ac:dyDescent="0.25">
      <c r="B46" s="61"/>
      <c r="C46" s="62" t="s">
        <v>33</v>
      </c>
      <c r="D46" s="63"/>
      <c r="E46" s="21" t="s">
        <v>48</v>
      </c>
      <c r="F46" s="21" t="s">
        <v>48</v>
      </c>
      <c r="G46" s="21" t="s">
        <v>48</v>
      </c>
      <c r="H46" s="21" t="s">
        <v>48</v>
      </c>
      <c r="I46" s="21" t="s">
        <v>48</v>
      </c>
      <c r="J46" s="21" t="s">
        <v>48</v>
      </c>
      <c r="K46" s="21" t="s">
        <v>48</v>
      </c>
      <c r="L46" s="21" t="s">
        <v>48</v>
      </c>
      <c r="M46" s="21" t="s">
        <v>48</v>
      </c>
      <c r="N46" s="21" t="s">
        <v>48</v>
      </c>
      <c r="O46" s="21" t="s">
        <v>48</v>
      </c>
      <c r="P46" s="21" t="s">
        <v>48</v>
      </c>
    </row>
    <row r="48" spans="2:16" hidden="1" x14ac:dyDescent="0.25">
      <c r="B48" t="s">
        <v>15</v>
      </c>
      <c r="C48" t="s">
        <v>16</v>
      </c>
      <c r="D48" t="s">
        <v>17</v>
      </c>
      <c r="E48" t="s">
        <v>18</v>
      </c>
      <c r="F48" t="s">
        <v>19</v>
      </c>
      <c r="G48" t="s">
        <v>20</v>
      </c>
      <c r="H48" t="s">
        <v>21</v>
      </c>
      <c r="I48" t="s">
        <v>22</v>
      </c>
      <c r="J48" t="s">
        <v>23</v>
      </c>
      <c r="K48" t="s">
        <v>24</v>
      </c>
      <c r="L48" t="s">
        <v>25</v>
      </c>
      <c r="M48" t="s">
        <v>26</v>
      </c>
      <c r="N48" t="s">
        <v>27</v>
      </c>
      <c r="O48" t="s">
        <v>28</v>
      </c>
      <c r="P48" t="s">
        <v>44</v>
      </c>
    </row>
    <row r="49" spans="2:17" x14ac:dyDescent="0.25">
      <c r="B49" s="22" t="s">
        <v>50</v>
      </c>
      <c r="C49" s="22"/>
      <c r="D49" s="23">
        <f>D38+D44</f>
        <v>23604621</v>
      </c>
      <c r="E49" s="23">
        <f>E38+E44</f>
        <v>1443918</v>
      </c>
      <c r="F49" s="23">
        <f t="shared" ref="F49:P49" si="17">F38+F44</f>
        <v>1383020</v>
      </c>
      <c r="G49" s="23">
        <f t="shared" si="17"/>
        <v>1338543</v>
      </c>
      <c r="H49" s="23">
        <f t="shared" si="17"/>
        <v>1262501</v>
      </c>
      <c r="I49" s="23">
        <f t="shared" si="17"/>
        <v>1133788</v>
      </c>
      <c r="J49" s="23">
        <f t="shared" si="17"/>
        <v>1069119</v>
      </c>
      <c r="K49" s="23">
        <f t="shared" si="17"/>
        <v>977373</v>
      </c>
      <c r="L49" s="23">
        <f t="shared" si="17"/>
        <v>889444</v>
      </c>
      <c r="M49" s="23">
        <f t="shared" si="17"/>
        <v>815148</v>
      </c>
      <c r="N49" s="23">
        <f t="shared" si="17"/>
        <v>766978</v>
      </c>
      <c r="O49" s="23">
        <f t="shared" si="17"/>
        <v>735242</v>
      </c>
      <c r="P49" s="23">
        <f t="shared" si="17"/>
        <v>710014</v>
      </c>
    </row>
    <row r="50" spans="2:17" x14ac:dyDescent="0.25">
      <c r="B50" s="22" t="s">
        <v>49</v>
      </c>
      <c r="C50" s="22"/>
      <c r="D50" s="22"/>
      <c r="E50" s="23">
        <f>E39+E45</f>
        <v>-66658</v>
      </c>
      <c r="F50" s="23">
        <f t="shared" ref="F50:P50" si="18">F39+F45</f>
        <v>-60898</v>
      </c>
      <c r="G50" s="23">
        <f t="shared" si="18"/>
        <v>-44477</v>
      </c>
      <c r="H50" s="23">
        <f t="shared" si="18"/>
        <v>-76042</v>
      </c>
      <c r="I50" s="23">
        <f t="shared" si="18"/>
        <v>-128713</v>
      </c>
      <c r="J50" s="23">
        <f t="shared" si="18"/>
        <v>-64669</v>
      </c>
      <c r="K50" s="23">
        <f t="shared" si="18"/>
        <v>-91746</v>
      </c>
      <c r="L50" s="23">
        <f t="shared" si="18"/>
        <v>-87929</v>
      </c>
      <c r="M50" s="23">
        <f t="shared" si="18"/>
        <v>-74296</v>
      </c>
      <c r="N50" s="23">
        <f t="shared" si="18"/>
        <v>-48170</v>
      </c>
      <c r="O50" s="23">
        <f t="shared" si="18"/>
        <v>-31736</v>
      </c>
      <c r="P50" s="23">
        <f t="shared" si="18"/>
        <v>-25228</v>
      </c>
    </row>
    <row r="51" spans="2:17" x14ac:dyDescent="0.25">
      <c r="B51" s="22" t="s">
        <v>43</v>
      </c>
      <c r="C51" s="22"/>
      <c r="D51" s="22"/>
      <c r="E51" s="34">
        <f>E49/$D$49</f>
        <v>6.1170988511105515E-2</v>
      </c>
      <c r="F51" s="34">
        <f t="shared" ref="F51:P51" si="19">F49/$D$49</f>
        <v>5.8591069943465732E-2</v>
      </c>
      <c r="G51" s="34">
        <f t="shared" si="19"/>
        <v>5.670682024506981E-2</v>
      </c>
      <c r="H51" s="34">
        <f t="shared" si="19"/>
        <v>5.3485332384705521E-2</v>
      </c>
      <c r="I51" s="34">
        <f t="shared" si="19"/>
        <v>4.803245940699493E-2</v>
      </c>
      <c r="J51" s="34">
        <f t="shared" si="19"/>
        <v>4.5292783984966334E-2</v>
      </c>
      <c r="K51" s="34">
        <f t="shared" si="19"/>
        <v>4.1406002663630988E-2</v>
      </c>
      <c r="L51" s="34">
        <f t="shared" si="19"/>
        <v>3.7680926967647563E-2</v>
      </c>
      <c r="M51" s="34">
        <f t="shared" si="19"/>
        <v>3.4533407674709117E-2</v>
      </c>
      <c r="N51" s="34">
        <f t="shared" si="19"/>
        <v>3.2492705559644446E-2</v>
      </c>
      <c r="O51" s="34">
        <f t="shared" si="19"/>
        <v>3.1148223053443645E-2</v>
      </c>
      <c r="P51" s="34">
        <f t="shared" si="19"/>
        <v>3.0079449273936659E-2</v>
      </c>
    </row>
    <row r="53" spans="2:17" x14ac:dyDescent="0.25">
      <c r="B53" s="41" t="s">
        <v>53</v>
      </c>
      <c r="C53" s="39"/>
      <c r="D53" s="39"/>
      <c r="E53" s="39"/>
      <c r="F53" s="39"/>
      <c r="G53" s="39"/>
      <c r="H53" s="39"/>
      <c r="I53" s="39"/>
      <c r="J53" s="39"/>
      <c r="K53" s="39"/>
      <c r="L53" s="39"/>
      <c r="M53" s="39"/>
      <c r="N53" s="39"/>
    </row>
    <row r="54" spans="2:17" x14ac:dyDescent="0.25">
      <c r="B54" s="42" t="s">
        <v>51</v>
      </c>
      <c r="C54" s="40"/>
      <c r="D54" s="40"/>
      <c r="E54" s="40"/>
      <c r="F54" s="40"/>
      <c r="G54" s="40"/>
      <c r="H54" s="40"/>
      <c r="I54" s="40"/>
      <c r="J54" s="40"/>
      <c r="K54" s="40"/>
      <c r="L54" s="40"/>
      <c r="M54" s="40"/>
      <c r="N54" s="40"/>
    </row>
    <row r="55" spans="2:17" x14ac:dyDescent="0.25">
      <c r="B55" s="42" t="s">
        <v>52</v>
      </c>
      <c r="C55" s="40"/>
      <c r="D55" s="40"/>
      <c r="E55" s="40"/>
      <c r="F55" s="40"/>
      <c r="G55" s="40"/>
      <c r="H55" s="40"/>
      <c r="I55" s="40"/>
      <c r="J55" s="40"/>
      <c r="K55" s="40"/>
      <c r="L55" s="40"/>
      <c r="M55" s="40"/>
      <c r="N55" s="40"/>
    </row>
    <row r="60" spans="2:17" x14ac:dyDescent="0.25">
      <c r="O60" s="39"/>
      <c r="P60" s="39"/>
      <c r="Q60" s="38"/>
    </row>
    <row r="61" spans="2:17" x14ac:dyDescent="0.25">
      <c r="O61" s="40"/>
      <c r="P61" s="40"/>
    </row>
    <row r="62" spans="2:17" x14ac:dyDescent="0.25">
      <c r="O62" s="40"/>
      <c r="P62" s="40"/>
    </row>
  </sheetData>
  <mergeCells count="31">
    <mergeCell ref="E8:P8"/>
    <mergeCell ref="B10:B13"/>
    <mergeCell ref="C12:D12"/>
    <mergeCell ref="C13:D13"/>
    <mergeCell ref="B8:B9"/>
    <mergeCell ref="C8:C9"/>
    <mergeCell ref="D8:D9"/>
    <mergeCell ref="B22:B25"/>
    <mergeCell ref="B26:B29"/>
    <mergeCell ref="B30:B33"/>
    <mergeCell ref="C24:D24"/>
    <mergeCell ref="C25:D25"/>
    <mergeCell ref="C28:D28"/>
    <mergeCell ref="C29:D29"/>
    <mergeCell ref="C32:D32"/>
    <mergeCell ref="D2:P2"/>
    <mergeCell ref="D4:P4"/>
    <mergeCell ref="B34:B37"/>
    <mergeCell ref="B42:D42"/>
    <mergeCell ref="B43:B46"/>
    <mergeCell ref="C45:D45"/>
    <mergeCell ref="C46:D46"/>
    <mergeCell ref="C37:D37"/>
    <mergeCell ref="C36:D36"/>
    <mergeCell ref="B14:B17"/>
    <mergeCell ref="C16:D16"/>
    <mergeCell ref="C17:D17"/>
    <mergeCell ref="C20:D20"/>
    <mergeCell ref="C21:D21"/>
    <mergeCell ref="C33:D33"/>
    <mergeCell ref="B18:B21"/>
  </mergeCells>
  <phoneticPr fontId="12" type="noConversion"/>
  <pageMargins left="0.23622047244094491" right="0.23622047244094491" top="0.78740157480314965" bottom="0.74803149606299213" header="0.31496062992125984" footer="0.31496062992125984"/>
  <pageSetup paperSize="9" scale="61" orientation="landscape" horizontalDpi="1200" verticalDpi="1200" r:id="rId1"/>
  <ignoredErrors>
    <ignoredError sqref="E44 F44:P44 E45:P45 E46:P46" numberStoredAsText="1"/>
  </ignoredErrors>
  <drawing r:id="rId2"/>
  <tableParts count="3">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AAFOBOL</dc:creator>
  <cp:lastModifiedBy>juanvan</cp:lastModifiedBy>
  <cp:lastPrinted>2026-02-05T13:03:15Z</cp:lastPrinted>
  <dcterms:created xsi:type="dcterms:W3CDTF">2025-02-21T12:50:25Z</dcterms:created>
  <dcterms:modified xsi:type="dcterms:W3CDTF">2026-09-09T08:33:26Z</dcterms:modified>
</cp:coreProperties>
</file>